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ravaniranshevare1806/Downloads/"/>
    </mc:Choice>
  </mc:AlternateContent>
  <xr:revisionPtr revIDLastSave="0" documentId="13_ncr:1_{A27905AF-E539-C249-8E22-3EF08FBE31B9}" xr6:coauthVersionLast="47" xr6:coauthVersionMax="47" xr10:uidLastSave="{00000000-0000-0000-0000-000000000000}"/>
  <bookViews>
    <workbookView xWindow="2720" yWindow="660" windowWidth="27680" windowHeight="16720" firstSheet="1" activeTab="8" xr2:uid="{BA9A7738-F1BA-1B40-92A4-F1AF9ECAC5F9}"/>
  </bookViews>
  <sheets>
    <sheet name="Pivot_MileagebyDriver" sheetId="9" r:id="rId1"/>
    <sheet name="Pivot_MilesbyModel" sheetId="12" r:id="rId2"/>
    <sheet name="Pivot_WarrantyRiskCount" sheetId="13" r:id="rId3"/>
    <sheet name="Pivot_AgeCountCars" sheetId="14" r:id="rId4"/>
    <sheet name="FactCarInventory" sheetId="8" r:id="rId5"/>
    <sheet name="DimWarranty" sheetId="7" r:id="rId6"/>
    <sheet name="DimCar" sheetId="6" r:id="rId7"/>
    <sheet name="DimMakeModel" sheetId="5" r:id="rId8"/>
    <sheet name="DriverDim" sheetId="4" r:id="rId9"/>
  </sheets>
  <definedNames>
    <definedName name="ExternalData_2" localSheetId="8" hidden="1">DriverDim!$A$1:$B$18</definedName>
    <definedName name="ExternalData_3" localSheetId="7" hidden="1">DimMakeModel!$A$1:$E$7</definedName>
    <definedName name="ExternalData_4" localSheetId="6" hidden="1">DimCar!$A$1:$E$53</definedName>
    <definedName name="ExternalData_5" localSheetId="5" hidden="1">DimWarranty!$A$1:$C$4</definedName>
    <definedName name="ExternalData_6" localSheetId="4" hidden="1">FactCarInventory!$A$1:$G$53</definedName>
  </definedNames>
  <calcPr calcId="191029"/>
  <pivotCaches>
    <pivotCache cacheId="21" r:id="rId1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" i="8" l="1"/>
  <c r="M3" i="8"/>
  <c r="M4" i="8"/>
  <c r="M5" i="8"/>
  <c r="M6" i="8"/>
  <c r="M7" i="8"/>
  <c r="M8" i="8"/>
  <c r="M9" i="8"/>
  <c r="M10" i="8"/>
  <c r="M11" i="8"/>
  <c r="M12" i="8"/>
  <c r="M13" i="8"/>
  <c r="M14" i="8"/>
  <c r="M15" i="8"/>
  <c r="M16" i="8"/>
  <c r="M17" i="8"/>
  <c r="M18" i="8"/>
  <c r="M19" i="8"/>
  <c r="M20" i="8"/>
  <c r="M21" i="8"/>
  <c r="M22" i="8"/>
  <c r="M23" i="8"/>
  <c r="M24" i="8"/>
  <c r="M25" i="8"/>
  <c r="M26" i="8"/>
  <c r="M27" i="8"/>
  <c r="M28" i="8"/>
  <c r="M29" i="8"/>
  <c r="M30" i="8"/>
  <c r="M31" i="8"/>
  <c r="M32" i="8"/>
  <c r="M33" i="8"/>
  <c r="M34" i="8"/>
  <c r="M35" i="8"/>
  <c r="M36" i="8"/>
  <c r="M37" i="8"/>
  <c r="M38" i="8"/>
  <c r="M39" i="8"/>
  <c r="M40" i="8"/>
  <c r="M41" i="8"/>
  <c r="M42" i="8"/>
  <c r="M43" i="8"/>
  <c r="M44" i="8"/>
  <c r="M45" i="8"/>
  <c r="M46" i="8"/>
  <c r="M47" i="8"/>
  <c r="M48" i="8"/>
  <c r="M49" i="8"/>
  <c r="M50" i="8"/>
  <c r="M51" i="8"/>
  <c r="M52" i="8"/>
  <c r="M53" i="8"/>
  <c r="L3" i="8"/>
  <c r="L2" i="8"/>
  <c r="L4" i="8"/>
  <c r="L5" i="8"/>
  <c r="L6" i="8"/>
  <c r="L7" i="8"/>
  <c r="L8" i="8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L29" i="8"/>
  <c r="L30" i="8"/>
  <c r="L31" i="8"/>
  <c r="L32" i="8"/>
  <c r="L33" i="8"/>
  <c r="L34" i="8"/>
  <c r="L35" i="8"/>
  <c r="L36" i="8"/>
  <c r="L37" i="8"/>
  <c r="L38" i="8"/>
  <c r="L39" i="8"/>
  <c r="L40" i="8"/>
  <c r="L41" i="8"/>
  <c r="L42" i="8"/>
  <c r="L44" i="8"/>
  <c r="L45" i="8"/>
  <c r="L46" i="8"/>
  <c r="L47" i="8"/>
  <c r="L48" i="8"/>
  <c r="L49" i="8"/>
  <c r="L50" i="8"/>
  <c r="L51" i="8"/>
  <c r="L52" i="8"/>
  <c r="K2" i="8"/>
  <c r="K3" i="8"/>
  <c r="K4" i="8"/>
  <c r="K5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K31" i="8"/>
  <c r="K32" i="8"/>
  <c r="K33" i="8"/>
  <c r="K34" i="8"/>
  <c r="K35" i="8"/>
  <c r="K36" i="8"/>
  <c r="K37" i="8"/>
  <c r="K38" i="8"/>
  <c r="K39" i="8"/>
  <c r="K40" i="8"/>
  <c r="K41" i="8"/>
  <c r="K42" i="8"/>
  <c r="K43" i="8"/>
  <c r="K44" i="8"/>
  <c r="K45" i="8"/>
  <c r="K46" i="8"/>
  <c r="K47" i="8"/>
  <c r="K48" i="8"/>
  <c r="K49" i="8"/>
  <c r="K50" i="8"/>
  <c r="K51" i="8"/>
  <c r="K52" i="8"/>
  <c r="K53" i="8"/>
  <c r="J2" i="8"/>
  <c r="J3" i="8"/>
  <c r="J4" i="8"/>
  <c r="J5" i="8"/>
  <c r="J6" i="8"/>
  <c r="J7" i="8"/>
  <c r="J8" i="8"/>
  <c r="J9" i="8"/>
  <c r="J10" i="8"/>
  <c r="J11" i="8"/>
  <c r="J12" i="8"/>
  <c r="J13" i="8"/>
  <c r="J14" i="8"/>
  <c r="J15" i="8"/>
  <c r="J16" i="8"/>
  <c r="J17" i="8"/>
  <c r="J18" i="8"/>
  <c r="J19" i="8"/>
  <c r="J20" i="8"/>
  <c r="J21" i="8"/>
  <c r="J22" i="8"/>
  <c r="J23" i="8"/>
  <c r="J24" i="8"/>
  <c r="J25" i="8"/>
  <c r="J26" i="8"/>
  <c r="J27" i="8"/>
  <c r="J28" i="8"/>
  <c r="J29" i="8"/>
  <c r="J30" i="8"/>
  <c r="J31" i="8"/>
  <c r="J32" i="8"/>
  <c r="J33" i="8"/>
  <c r="J34" i="8"/>
  <c r="J35" i="8"/>
  <c r="J36" i="8"/>
  <c r="J37" i="8"/>
  <c r="J38" i="8"/>
  <c r="J39" i="8"/>
  <c r="J40" i="8"/>
  <c r="J41" i="8"/>
  <c r="J42" i="8"/>
  <c r="J43" i="8"/>
  <c r="J44" i="8"/>
  <c r="J45" i="8"/>
  <c r="J46" i="8"/>
  <c r="J47" i="8"/>
  <c r="J48" i="8"/>
  <c r="J49" i="8"/>
  <c r="J50" i="8"/>
  <c r="J51" i="8"/>
  <c r="J52" i="8"/>
  <c r="J53" i="8"/>
  <c r="I2" i="8"/>
  <c r="I3" i="8"/>
  <c r="I4" i="8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I32" i="8"/>
  <c r="I33" i="8"/>
  <c r="I34" i="8"/>
  <c r="I35" i="8"/>
  <c r="I36" i="8"/>
  <c r="I37" i="8"/>
  <c r="I38" i="8"/>
  <c r="I39" i="8"/>
  <c r="I40" i="8"/>
  <c r="I41" i="8"/>
  <c r="I42" i="8"/>
  <c r="I43" i="8"/>
  <c r="I44" i="8"/>
  <c r="I45" i="8"/>
  <c r="I46" i="8"/>
  <c r="I47" i="8"/>
  <c r="I48" i="8"/>
  <c r="I49" i="8"/>
  <c r="I50" i="8"/>
  <c r="I51" i="8"/>
  <c r="I52" i="8"/>
  <c r="I53" i="8"/>
  <c r="H2" i="8"/>
  <c r="H3" i="8"/>
  <c r="H4" i="8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05D9B5E-A7B3-3D45-AD55-01D24DBE280E}" keepAlive="1" name="Query - car inventory" description="Connection to the 'car inventory' query in the workbook." type="5" refreshedVersion="8" background="1" saveData="1">
    <dbPr connection="Provider=Microsoft.Mashup.OleDb.1;Data Source=$Workbook$;Location=&quot;car inventory&quot;;Extended Properties=&quot;&quot;" command="SELECT * FROM [car inventory]"/>
  </connection>
  <connection id="2" xr16:uid="{86D81264-17CE-9F44-9DFD-18AD572C4CE9}" keepAlive="1" name="Query - DimCar" description="Connection to the 'DimCar' query in the workbook." type="5" refreshedVersion="8" background="1" saveData="1">
    <dbPr connection="Provider=Microsoft.Mashup.OleDb.1;Data Source=$Workbook$;Location=DimCar;Extended Properties=&quot;&quot;" command="SELECT * FROM [DimCar]"/>
  </connection>
  <connection id="3" xr16:uid="{545C94BF-3544-9944-A41F-044F96AE66CB}" keepAlive="1" name="Query - DimMakeModel" description="Connection to the 'DimMakeModel' query in the workbook." type="5" refreshedVersion="8" background="1" saveData="1">
    <dbPr connection="Provider=Microsoft.Mashup.OleDb.1;Data Source=$Workbook$;Location=DimMakeModel;Extended Properties=&quot;&quot;" command="SELECT * FROM [DimMakeModel]"/>
  </connection>
  <connection id="4" xr16:uid="{1FC8D5F2-F09E-5C4A-A31A-C348CBCED114}" keepAlive="1" name="Query - DimWarranty" description="Connection to the 'DimWarranty' query in the workbook." type="5" refreshedVersion="8" background="1" saveData="1">
    <dbPr connection="Provider=Microsoft.Mashup.OleDb.1;Data Source=$Workbook$;Location=DimWarranty;Extended Properties=&quot;&quot;" command="SELECT * FROM [DimWarranty]"/>
  </connection>
  <connection id="5" xr16:uid="{EB633B53-95BC-534B-A2FC-48E578DF9C01}" keepAlive="1" name="Query - DriverDim" description="Connection to the 'DriverDim' query in the workbook." type="5" refreshedVersion="8" background="1" saveData="1">
    <dbPr connection="Provider=Microsoft.Mashup.OleDb.1;Data Source=$Workbook$;Location=DriverDim;Extended Properties=&quot;&quot;" command="SELECT * FROM [DriverDim]"/>
  </connection>
  <connection id="6" xr16:uid="{D84E147A-7349-5343-81B1-DCEC874859AD}" keepAlive="1" name="Query - FactCarInventory" description="Connection to the 'FactCarInventory' query in the workbook." type="5" refreshedVersion="8" background="1" saveData="1">
    <dbPr connection="Provider=Microsoft.Mashup.OleDb.1;Data Source=$Workbook$;Location=FactCarInventory;Extended Properties=&quot;&quot;" command="SELECT * FROM [FactCarInventory]"/>
  </connection>
</connections>
</file>

<file path=xl/sharedStrings.xml><?xml version="1.0" encoding="utf-8"?>
<sst xmlns="http://schemas.openxmlformats.org/spreadsheetml/2006/main" count="215" uniqueCount="130">
  <si>
    <t>Car ID</t>
  </si>
  <si>
    <t>Make</t>
  </si>
  <si>
    <t>Make (Full Name)</t>
  </si>
  <si>
    <t>Model</t>
  </si>
  <si>
    <t>Model (Full Name)</t>
  </si>
  <si>
    <t>Manufacture Year</t>
  </si>
  <si>
    <t>Age</t>
  </si>
  <si>
    <t>Miles</t>
  </si>
  <si>
    <t>Miles / Year</t>
  </si>
  <si>
    <t>Color</t>
  </si>
  <si>
    <t>Driver</t>
  </si>
  <si>
    <t>Warantee Miles</t>
  </si>
  <si>
    <t>Covered?</t>
  </si>
  <si>
    <t>FD06MTG001</t>
  </si>
  <si>
    <t>Black</t>
  </si>
  <si>
    <t>Smith</t>
  </si>
  <si>
    <t>FD06MTG002</t>
  </si>
  <si>
    <t>White</t>
  </si>
  <si>
    <t>McCall</t>
  </si>
  <si>
    <t>FD08MTG003</t>
  </si>
  <si>
    <t>Green</t>
  </si>
  <si>
    <t>Lyon</t>
  </si>
  <si>
    <t>FD08MTG004</t>
  </si>
  <si>
    <t>Jones</t>
  </si>
  <si>
    <t>FD08MTG005</t>
  </si>
  <si>
    <t>Ewenty</t>
  </si>
  <si>
    <t>FD06FCS007</t>
  </si>
  <si>
    <t>FD09FCS008</t>
  </si>
  <si>
    <t>Howard</t>
  </si>
  <si>
    <t>FD13FCS009</t>
  </si>
  <si>
    <t>FD13FCS010</t>
  </si>
  <si>
    <t>Praulty</t>
  </si>
  <si>
    <t>FD12FCS011</t>
  </si>
  <si>
    <t>Yousef</t>
  </si>
  <si>
    <t>FD13FCS012</t>
  </si>
  <si>
    <t>Vizzini</t>
  </si>
  <si>
    <t>FD13FCS013</t>
  </si>
  <si>
    <t>Rodriguez</t>
  </si>
  <si>
    <t>Santos</t>
  </si>
  <si>
    <t>GM12CMR015</t>
  </si>
  <si>
    <t>Bard</t>
  </si>
  <si>
    <t>GM14CMR016</t>
  </si>
  <si>
    <t>Torrens</t>
  </si>
  <si>
    <t>GM10SLV017</t>
  </si>
  <si>
    <t>Hulinski</t>
  </si>
  <si>
    <t>GM98SLV018</t>
  </si>
  <si>
    <t>GM00SLV019</t>
  </si>
  <si>
    <t>Blue</t>
  </si>
  <si>
    <t>TY96CAM020</t>
  </si>
  <si>
    <t>Chan</t>
  </si>
  <si>
    <t>TY98CAM021</t>
  </si>
  <si>
    <t>Swartz</t>
  </si>
  <si>
    <t>TY00CAM022</t>
  </si>
  <si>
    <t>TY02CAM023</t>
  </si>
  <si>
    <t>TY09CAM024</t>
  </si>
  <si>
    <t>TY02COR025</t>
  </si>
  <si>
    <t>Red</t>
  </si>
  <si>
    <t>Gaul</t>
  </si>
  <si>
    <t>TY03COR026</t>
  </si>
  <si>
    <t>TY14COR027</t>
  </si>
  <si>
    <t>TY12COR028</t>
  </si>
  <si>
    <t>TY12CAM029</t>
  </si>
  <si>
    <t>HO99CIV030</t>
  </si>
  <si>
    <t>HO01CIV031</t>
  </si>
  <si>
    <t>HO10CIV032</t>
  </si>
  <si>
    <t>HO10CIV033</t>
  </si>
  <si>
    <t>HO11CIV034</t>
  </si>
  <si>
    <t>HO12CIV035</t>
  </si>
  <si>
    <t>HO13CIV036</t>
  </si>
  <si>
    <t>HO07ODY038</t>
  </si>
  <si>
    <t>HO08ODY039</t>
  </si>
  <si>
    <t>HO14ODY041</t>
  </si>
  <si>
    <t>CR04PTC042</t>
  </si>
  <si>
    <t>CR07PTC043</t>
  </si>
  <si>
    <t>CR11PTC044</t>
  </si>
  <si>
    <t>CR99CAR045</t>
  </si>
  <si>
    <t>CR00CAR046</t>
  </si>
  <si>
    <t>CR04CAR047</t>
  </si>
  <si>
    <t>CR04CAR048</t>
  </si>
  <si>
    <t>HY11ELA049</t>
  </si>
  <si>
    <t>HY12ELA050</t>
  </si>
  <si>
    <t>HY13ELA051</t>
  </si>
  <si>
    <t>HY13ELA052</t>
  </si>
  <si>
    <t>CR</t>
  </si>
  <si>
    <t>HY</t>
  </si>
  <si>
    <t>TY</t>
  </si>
  <si>
    <t>HO</t>
  </si>
  <si>
    <t>GM</t>
  </si>
  <si>
    <t>FD</t>
  </si>
  <si>
    <t>Chrysler</t>
  </si>
  <si>
    <t>Hundai</t>
  </si>
  <si>
    <t>Toyota</t>
  </si>
  <si>
    <t>Honda</t>
  </si>
  <si>
    <t>General Motors</t>
  </si>
  <si>
    <t>Ford</t>
  </si>
  <si>
    <t>FCS</t>
  </si>
  <si>
    <t>CMR</t>
  </si>
  <si>
    <t>COR</t>
  </si>
  <si>
    <t>ODY</t>
  </si>
  <si>
    <t>PTC</t>
  </si>
  <si>
    <t>HO01ODY040</t>
  </si>
  <si>
    <t>ELA</t>
  </si>
  <si>
    <t>Oddyesey</t>
  </si>
  <si>
    <t>Elantra</t>
  </si>
  <si>
    <t xml:space="preserve"> Focus</t>
  </si>
  <si>
    <t>Camero</t>
  </si>
  <si>
    <t>Corola</t>
  </si>
  <si>
    <t>PT Cruiser</t>
  </si>
  <si>
    <t>HO05ODY037</t>
  </si>
  <si>
    <t>FD06FCS006</t>
  </si>
  <si>
    <t>GM09CMR014</t>
  </si>
  <si>
    <t>Row Labels</t>
  </si>
  <si>
    <t>Grand Total</t>
  </si>
  <si>
    <t>Sum of Miles</t>
  </si>
  <si>
    <t>Y</t>
  </si>
  <si>
    <t>DriverKey</t>
  </si>
  <si>
    <t>MakeModelKey</t>
  </si>
  <si>
    <t>CarKey</t>
  </si>
  <si>
    <t>WaranteeKey</t>
  </si>
  <si>
    <t>Drivername</t>
  </si>
  <si>
    <t>WarrantyMiles</t>
  </si>
  <si>
    <t>Covered</t>
  </si>
  <si>
    <t>WarrrantyRisk</t>
  </si>
  <si>
    <t>N</t>
  </si>
  <si>
    <t>Exceeded</t>
  </si>
  <si>
    <t>WithinLimit</t>
  </si>
  <si>
    <t>Count of Cars</t>
  </si>
  <si>
    <t>Average of Miles</t>
  </si>
  <si>
    <t>Age of cars</t>
  </si>
  <si>
    <t>Count of Cars as per 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</si>
</sst>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ravani Ranshevare" refreshedDate="46054.866872569444" createdVersion="8" refreshedVersion="8" minRefreshableVersion="3" recordCount="52" xr:uid="{9D806CAE-66FB-0B44-A09F-EF60377F85BD}">
  <cacheSource type="worksheet">
    <worksheetSource name="FactCarInventory"/>
  </cacheSource>
  <cacheFields count="13">
    <cacheField name="CarKey" numFmtId="0">
      <sharedItems containsSemiMixedTypes="0" containsString="0" containsNumber="1" containsInteger="1" minValue="1" maxValue="52"/>
    </cacheField>
    <cacheField name="Age" numFmtId="0">
      <sharedItems containsSemiMixedTypes="0" containsString="0" containsNumber="1" containsInteger="1" minValue="11" maxValue="29" count="18">
        <n v="11"/>
        <n v="13"/>
        <n v="12"/>
        <n v="15"/>
        <n v="14"/>
        <n v="16"/>
        <n v="19"/>
        <n v="17"/>
        <n v="18"/>
        <n v="21"/>
        <n v="23"/>
        <n v="24"/>
        <n v="20"/>
        <n v="26"/>
        <n v="27"/>
        <n v="25"/>
        <n v="22"/>
        <n v="29"/>
      </sharedItems>
    </cacheField>
    <cacheField name="MakeModelKey" numFmtId="0">
      <sharedItems containsSemiMixedTypes="0" containsString="0" containsNumber="1" containsInteger="1" minValue="1" maxValue="6"/>
    </cacheField>
    <cacheField name="DriverKey" numFmtId="0">
      <sharedItems containsSemiMixedTypes="0" containsString="0" containsNumber="1" containsInteger="1" minValue="1" maxValue="17"/>
    </cacheField>
    <cacheField name="WaranteeKey" numFmtId="0">
      <sharedItems containsSemiMixedTypes="0" containsString="0" containsNumber="1" containsInteger="1" minValue="1" maxValue="3"/>
    </cacheField>
    <cacheField name="Miles" numFmtId="0">
      <sharedItems containsSemiMixedTypes="0" containsString="0" containsNumber="1" minValue="3708.1" maxValue="114660.6"/>
    </cacheField>
    <cacheField name="Miles / Year" numFmtId="0">
      <sharedItems containsSemiMixedTypes="0" containsString="0" containsNumber="1" minValue="322.44347826086954" maxValue="3886.8"/>
    </cacheField>
    <cacheField name="Drivername" numFmtId="0">
      <sharedItems count="17">
        <s v="McCall"/>
        <s v="Chan"/>
        <s v="Rodriguez"/>
        <s v="Torrens"/>
        <s v="Bard"/>
        <s v="Yousef"/>
        <s v="Praulty"/>
        <s v="Santos"/>
        <s v="Ewenty"/>
        <s v="Vizzini"/>
        <s v="Hulinski"/>
        <s v="Smith"/>
        <s v="Lyon"/>
        <s v="Howard"/>
        <s v="Jones"/>
        <s v="Swartz"/>
        <s v="Gaul"/>
      </sharedItems>
    </cacheField>
    <cacheField name="Make" numFmtId="0">
      <sharedItems/>
    </cacheField>
    <cacheField name="Model" numFmtId="0">
      <sharedItems count="6">
        <s v="ODY"/>
        <s v="ELA"/>
        <s v="COR"/>
        <s v="FCS"/>
        <s v="CMR"/>
        <s v="PTC"/>
      </sharedItems>
    </cacheField>
    <cacheField name="WarrantyMiles" numFmtId="0">
      <sharedItems containsSemiMixedTypes="0" containsString="0" containsNumber="1" containsInteger="1" minValue="50000" maxValue="100000"/>
    </cacheField>
    <cacheField name="Covered" numFmtId="0">
      <sharedItems/>
    </cacheField>
    <cacheField name="WarrrantyRisk" numFmtId="0">
      <sharedItems count="2">
        <s v="WithinLimit"/>
        <s v="Exceeded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2">
  <r>
    <n v="1"/>
    <x v="0"/>
    <n v="1"/>
    <n v="1"/>
    <n v="1"/>
    <n v="3708.1"/>
    <n v="322.44347826086954"/>
    <x v="0"/>
    <s v="HO"/>
    <x v="0"/>
    <n v="100000"/>
    <s v="Y"/>
    <x v="0"/>
  </r>
  <r>
    <n v="11"/>
    <x v="1"/>
    <n v="5"/>
    <n v="1"/>
    <n v="1"/>
    <n v="22282"/>
    <n v="1650.5185185185185"/>
    <x v="0"/>
    <s v="HY"/>
    <x v="1"/>
    <n v="100000"/>
    <s v="Y"/>
    <x v="0"/>
  </r>
  <r>
    <n v="3"/>
    <x v="2"/>
    <n v="1"/>
    <n v="3"/>
    <n v="2"/>
    <n v="13867.6"/>
    <n v="1109.4080000000001"/>
    <x v="1"/>
    <s v="HO"/>
    <x v="0"/>
    <n v="75000"/>
    <s v="Y"/>
    <x v="0"/>
  </r>
  <r>
    <n v="10"/>
    <x v="1"/>
    <n v="4"/>
    <n v="3"/>
    <n v="1"/>
    <n v="22128.2"/>
    <n v="1639.1259259259259"/>
    <x v="1"/>
    <s v="TY"/>
    <x v="2"/>
    <n v="100000"/>
    <s v="Y"/>
    <x v="0"/>
  </r>
  <r>
    <n v="2"/>
    <x v="2"/>
    <n v="2"/>
    <n v="2"/>
    <n v="2"/>
    <n v="13682.9"/>
    <n v="1094.6320000000001"/>
    <x v="2"/>
    <s v="FD"/>
    <x v="3"/>
    <n v="75000"/>
    <s v="Y"/>
    <x v="0"/>
  </r>
  <r>
    <n v="7"/>
    <x v="3"/>
    <n v="1"/>
    <n v="4"/>
    <n v="2"/>
    <n v="22573"/>
    <n v="1456.3225806451612"/>
    <x v="3"/>
    <s v="HO"/>
    <x v="0"/>
    <n v="75000"/>
    <s v="Y"/>
    <x v="0"/>
  </r>
  <r>
    <n v="4"/>
    <x v="0"/>
    <n v="3"/>
    <n v="4"/>
    <n v="1"/>
    <n v="14289.6"/>
    <n v="1242.5739130434783"/>
    <x v="3"/>
    <s v="GM"/>
    <x v="4"/>
    <n v="100000"/>
    <s v="Y"/>
    <x v="0"/>
  </r>
  <r>
    <n v="17"/>
    <x v="4"/>
    <n v="5"/>
    <n v="4"/>
    <n v="1"/>
    <n v="29102.3"/>
    <n v="2007.0551724137931"/>
    <x v="3"/>
    <s v="HY"/>
    <x v="1"/>
    <n v="100000"/>
    <s v="Y"/>
    <x v="0"/>
  </r>
  <r>
    <n v="6"/>
    <x v="1"/>
    <n v="3"/>
    <n v="6"/>
    <n v="1"/>
    <n v="19421.099999999999"/>
    <n v="1438.6"/>
    <x v="4"/>
    <s v="GM"/>
    <x v="4"/>
    <n v="100000"/>
    <s v="Y"/>
    <x v="0"/>
  </r>
  <r>
    <n v="5"/>
    <x v="1"/>
    <n v="2"/>
    <n v="5"/>
    <n v="2"/>
    <n v="19341.7"/>
    <n v="1432.7185185185185"/>
    <x v="5"/>
    <s v="FD"/>
    <x v="3"/>
    <n v="75000"/>
    <s v="Y"/>
    <x v="0"/>
  </r>
  <r>
    <n v="8"/>
    <x v="0"/>
    <n v="4"/>
    <n v="7"/>
    <n v="1"/>
    <n v="17556.3"/>
    <n v="1526.6347826086956"/>
    <x v="6"/>
    <s v="TY"/>
    <x v="2"/>
    <n v="100000"/>
    <s v="Y"/>
    <x v="0"/>
  </r>
  <r>
    <n v="9"/>
    <x v="2"/>
    <n v="5"/>
    <n v="7"/>
    <n v="1"/>
    <n v="20223.900000000001"/>
    <n v="1617.912"/>
    <x v="6"/>
    <s v="HY"/>
    <x v="1"/>
    <n v="100000"/>
    <s v="Y"/>
    <x v="0"/>
  </r>
  <r>
    <n v="12"/>
    <x v="5"/>
    <n v="3"/>
    <n v="8"/>
    <n v="1"/>
    <n v="28464.799999999999"/>
    <n v="1725.1393939393938"/>
    <x v="7"/>
    <s v="GM"/>
    <x v="4"/>
    <n v="100000"/>
    <s v="Y"/>
    <x v="0"/>
  </r>
  <r>
    <n v="13"/>
    <x v="2"/>
    <n v="5"/>
    <n v="9"/>
    <n v="1"/>
    <n v="22188.5"/>
    <n v="1775.08"/>
    <x v="8"/>
    <s v="HY"/>
    <x v="1"/>
    <n v="100000"/>
    <s v="Y"/>
    <x v="0"/>
  </r>
  <r>
    <n v="14"/>
    <x v="2"/>
    <n v="2"/>
    <n v="10"/>
    <n v="2"/>
    <n v="22521.599999999999"/>
    <n v="1801.7279999999998"/>
    <x v="9"/>
    <s v="FD"/>
    <x v="3"/>
    <n v="75000"/>
    <s v="Y"/>
    <x v="0"/>
  </r>
  <r>
    <n v="16"/>
    <x v="4"/>
    <n v="6"/>
    <n v="10"/>
    <n v="2"/>
    <n v="27394.2"/>
    <n v="1889.2551724137932"/>
    <x v="9"/>
    <s v="CR"/>
    <x v="5"/>
    <n v="75000"/>
    <s v="Y"/>
    <x v="0"/>
  </r>
  <r>
    <n v="15"/>
    <x v="1"/>
    <n v="1"/>
    <n v="11"/>
    <n v="2"/>
    <n v="24513.200000000001"/>
    <n v="1815.7925925925927"/>
    <x v="10"/>
    <s v="HO"/>
    <x v="0"/>
    <n v="75000"/>
    <s v="Y"/>
    <x v="0"/>
  </r>
  <r>
    <n v="18"/>
    <x v="3"/>
    <n v="3"/>
    <n v="11"/>
    <n v="1"/>
    <n v="31144.400000000001"/>
    <n v="2009.3161290322582"/>
    <x v="10"/>
    <s v="GM"/>
    <x v="4"/>
    <n v="100000"/>
    <s v="Y"/>
    <x v="0"/>
  </r>
  <r>
    <n v="19"/>
    <x v="6"/>
    <n v="2"/>
    <n v="12"/>
    <n v="3"/>
    <n v="40326.800000000003"/>
    <n v="2068.041025641026"/>
    <x v="11"/>
    <s v="FD"/>
    <x v="3"/>
    <n v="50000"/>
    <s v="Y"/>
    <x v="0"/>
  </r>
  <r>
    <n v="20"/>
    <x v="7"/>
    <n v="2"/>
    <n v="12"/>
    <n v="3"/>
    <n v="36438.5"/>
    <n v="2082.1999999999998"/>
    <x v="11"/>
    <s v="FD"/>
    <x v="3"/>
    <n v="50000"/>
    <s v="Y"/>
    <x v="0"/>
  </r>
  <r>
    <n v="21"/>
    <x v="4"/>
    <n v="1"/>
    <n v="13"/>
    <n v="2"/>
    <n v="30555.3"/>
    <n v="2107.2620689655173"/>
    <x v="12"/>
    <s v="HO"/>
    <x v="0"/>
    <n v="75000"/>
    <s v="Y"/>
    <x v="0"/>
  </r>
  <r>
    <n v="22"/>
    <x v="5"/>
    <n v="2"/>
    <n v="14"/>
    <n v="2"/>
    <n v="35137"/>
    <n v="2129.5151515151515"/>
    <x v="13"/>
    <s v="FD"/>
    <x v="3"/>
    <n v="75000"/>
    <s v="Y"/>
    <x v="0"/>
  </r>
  <r>
    <n v="23"/>
    <x v="7"/>
    <n v="2"/>
    <n v="15"/>
    <n v="3"/>
    <n v="37558.800000000003"/>
    <n v="2146.2171428571432"/>
    <x v="14"/>
    <s v="FD"/>
    <x v="3"/>
    <n v="50000"/>
    <s v="Y"/>
    <x v="0"/>
  </r>
  <r>
    <n v="24"/>
    <x v="3"/>
    <n v="1"/>
    <n v="16"/>
    <n v="2"/>
    <n v="33477.199999999997"/>
    <n v="2159.8193548387094"/>
    <x v="15"/>
    <s v="HO"/>
    <x v="0"/>
    <n v="75000"/>
    <s v="Y"/>
    <x v="0"/>
  </r>
  <r>
    <n v="25"/>
    <x v="1"/>
    <n v="4"/>
    <n v="8"/>
    <n v="1"/>
    <n v="29601.9"/>
    <n v="2192.7333333333336"/>
    <x v="7"/>
    <s v="TY"/>
    <x v="2"/>
    <n v="100000"/>
    <s v="Y"/>
    <x v="0"/>
  </r>
  <r>
    <n v="26"/>
    <x v="2"/>
    <n v="2"/>
    <n v="7"/>
    <n v="2"/>
    <n v="27534.799999999999"/>
    <n v="2202.7840000000001"/>
    <x v="6"/>
    <s v="FD"/>
    <x v="3"/>
    <n v="75000"/>
    <s v="Y"/>
    <x v="0"/>
  </r>
  <r>
    <n v="27"/>
    <x v="2"/>
    <n v="2"/>
    <n v="12"/>
    <n v="2"/>
    <n v="27637.1"/>
    <n v="2210.9679999999998"/>
    <x v="11"/>
    <s v="FD"/>
    <x v="3"/>
    <n v="75000"/>
    <s v="Y"/>
    <x v="0"/>
  </r>
  <r>
    <n v="28"/>
    <x v="8"/>
    <n v="6"/>
    <n v="17"/>
    <n v="2"/>
    <n v="42074.2"/>
    <n v="2274.2810810810811"/>
    <x v="16"/>
    <s v="CR"/>
    <x v="5"/>
    <n v="75000"/>
    <s v="Y"/>
    <x v="0"/>
  </r>
  <r>
    <n v="29"/>
    <x v="6"/>
    <n v="2"/>
    <n v="1"/>
    <n v="3"/>
    <n v="44974.8"/>
    <n v="2306.4"/>
    <x v="0"/>
    <s v="FD"/>
    <x v="3"/>
    <n v="50000"/>
    <s v="Y"/>
    <x v="0"/>
  </r>
  <r>
    <n v="30"/>
    <x v="6"/>
    <n v="2"/>
    <n v="9"/>
    <n v="2"/>
    <n v="46311.4"/>
    <n v="2374.9435897435897"/>
    <x v="8"/>
    <s v="FD"/>
    <x v="3"/>
    <n v="75000"/>
    <s v="Y"/>
    <x v="0"/>
  </r>
  <r>
    <n v="31"/>
    <x v="7"/>
    <n v="1"/>
    <n v="2"/>
    <n v="1"/>
    <n v="42504.6"/>
    <n v="2428.8342857142857"/>
    <x v="2"/>
    <s v="HO"/>
    <x v="0"/>
    <n v="100000"/>
    <s v="Y"/>
    <x v="0"/>
  </r>
  <r>
    <n v="32"/>
    <x v="9"/>
    <n v="6"/>
    <n v="6"/>
    <n v="2"/>
    <n v="52699.4"/>
    <n v="2451.1348837209302"/>
    <x v="4"/>
    <s v="CR"/>
    <x v="5"/>
    <n v="75000"/>
    <s v="Y"/>
    <x v="0"/>
  </r>
  <r>
    <n v="33"/>
    <x v="7"/>
    <n v="2"/>
    <n v="13"/>
    <n v="3"/>
    <n v="44946.5"/>
    <n v="2568.3714285714286"/>
    <x v="12"/>
    <s v="FD"/>
    <x v="3"/>
    <n v="50000"/>
    <s v="Y"/>
    <x v="0"/>
  </r>
  <r>
    <n v="34"/>
    <x v="6"/>
    <n v="2"/>
    <n v="13"/>
    <n v="2"/>
    <n v="52229.5"/>
    <n v="2678.4358974358975"/>
    <x v="12"/>
    <s v="FD"/>
    <x v="3"/>
    <n v="75000"/>
    <s v="Y"/>
    <x v="0"/>
  </r>
  <r>
    <n v="35"/>
    <x v="10"/>
    <n v="4"/>
    <n v="17"/>
    <n v="1"/>
    <n v="64467.4"/>
    <n v="2743.2936170212765"/>
    <x v="16"/>
    <s v="TY"/>
    <x v="2"/>
    <n v="100000"/>
    <s v="Y"/>
    <x v="0"/>
  </r>
  <r>
    <n v="36"/>
    <x v="8"/>
    <n v="1"/>
    <n v="16"/>
    <n v="1"/>
    <n v="50854.1"/>
    <n v="2748.8702702702703"/>
    <x v="15"/>
    <s v="HO"/>
    <x v="0"/>
    <n v="100000"/>
    <s v="Y"/>
    <x v="0"/>
  </r>
  <r>
    <n v="37"/>
    <x v="11"/>
    <n v="1"/>
    <n v="12"/>
    <n v="1"/>
    <n v="68658.899999999994"/>
    <n v="2802.4040816326528"/>
    <x v="11"/>
    <s v="HO"/>
    <x v="0"/>
    <n v="100000"/>
    <s v="Y"/>
    <x v="0"/>
  </r>
  <r>
    <n v="38"/>
    <x v="11"/>
    <n v="1"/>
    <n v="15"/>
    <n v="2"/>
    <n v="69891.899999999994"/>
    <n v="2852.7306122448977"/>
    <x v="14"/>
    <s v="HO"/>
    <x v="0"/>
    <n v="75000"/>
    <s v="Y"/>
    <x v="0"/>
  </r>
  <r>
    <n v="39"/>
    <x v="10"/>
    <n v="4"/>
    <n v="12"/>
    <n v="1"/>
    <n v="67829.100000000006"/>
    <n v="2886.3446808510639"/>
    <x v="11"/>
    <s v="TY"/>
    <x v="2"/>
    <n v="100000"/>
    <s v="Y"/>
    <x v="0"/>
  </r>
  <r>
    <n v="40"/>
    <x v="5"/>
    <n v="4"/>
    <n v="14"/>
    <n v="1"/>
    <n v="48114.2"/>
    <n v="2916.0121212121212"/>
    <x v="13"/>
    <s v="TY"/>
    <x v="2"/>
    <n v="100000"/>
    <s v="Y"/>
    <x v="0"/>
  </r>
  <r>
    <n v="41"/>
    <x v="12"/>
    <n v="1"/>
    <n v="14"/>
    <n v="1"/>
    <n v="60389.5"/>
    <n v="2945.8292682926831"/>
    <x v="13"/>
    <s v="HO"/>
    <x v="0"/>
    <n v="100000"/>
    <s v="Y"/>
    <x v="0"/>
  </r>
  <r>
    <n v="42"/>
    <x v="13"/>
    <n v="6"/>
    <n v="11"/>
    <n v="2"/>
    <n v="79420.600000000006"/>
    <n v="2997.003773584906"/>
    <x v="10"/>
    <s v="CR"/>
    <x v="5"/>
    <n v="75000"/>
    <s v="N"/>
    <x v="1"/>
  </r>
  <r>
    <n v="43"/>
    <x v="9"/>
    <n v="6"/>
    <n v="12"/>
    <n v="2"/>
    <n v="64542"/>
    <n v="3001.953488372093"/>
    <x v="11"/>
    <s v="CR"/>
    <x v="5"/>
    <n v="75000"/>
    <s v="Y"/>
    <x v="0"/>
  </r>
  <r>
    <n v="44"/>
    <x v="14"/>
    <n v="3"/>
    <n v="8"/>
    <n v="1"/>
    <n v="83162.7"/>
    <n v="3024.0981818181817"/>
    <x v="7"/>
    <s v="GM"/>
    <x v="4"/>
    <n v="100000"/>
    <s v="Y"/>
    <x v="0"/>
  </r>
  <r>
    <n v="45"/>
    <x v="15"/>
    <n v="6"/>
    <n v="15"/>
    <n v="2"/>
    <n v="77243.100000000006"/>
    <n v="3029.1411764705886"/>
    <x v="14"/>
    <s v="CR"/>
    <x v="5"/>
    <n v="75000"/>
    <s v="Y"/>
    <x v="1"/>
  </r>
  <r>
    <n v="46"/>
    <x v="13"/>
    <n v="1"/>
    <n v="2"/>
    <n v="2"/>
    <n v="82374"/>
    <n v="3108.4528301886794"/>
    <x v="2"/>
    <s v="HO"/>
    <x v="0"/>
    <n v="75000"/>
    <s v="Y"/>
    <x v="1"/>
  </r>
  <r>
    <n v="47"/>
    <x v="15"/>
    <n v="3"/>
    <n v="10"/>
    <n v="1"/>
    <n v="80685.8"/>
    <n v="3164.1490196078435"/>
    <x v="9"/>
    <s v="GM"/>
    <x v="4"/>
    <n v="100000"/>
    <s v="Y"/>
    <x v="0"/>
  </r>
  <r>
    <n v="48"/>
    <x v="16"/>
    <n v="4"/>
    <n v="17"/>
    <n v="1"/>
    <n v="73444.399999999994"/>
    <n v="3264.1955555555551"/>
    <x v="16"/>
    <s v="TY"/>
    <x v="2"/>
    <n v="100000"/>
    <s v="Y"/>
    <x v="0"/>
  </r>
  <r>
    <n v="49"/>
    <x v="15"/>
    <n v="4"/>
    <n v="9"/>
    <n v="1"/>
    <n v="85928"/>
    <n v="3369.7254901960782"/>
    <x v="8"/>
    <s v="TY"/>
    <x v="2"/>
    <n v="100000"/>
    <s v="Y"/>
    <x v="0"/>
  </r>
  <r>
    <n v="50"/>
    <x v="9"/>
    <n v="6"/>
    <n v="6"/>
    <n v="2"/>
    <n v="72527.199999999997"/>
    <n v="3373.3581395348838"/>
    <x v="4"/>
    <s v="CR"/>
    <x v="5"/>
    <n v="75000"/>
    <s v="Y"/>
    <x v="0"/>
  </r>
  <r>
    <n v="51"/>
    <x v="14"/>
    <n v="4"/>
    <n v="16"/>
    <n v="1"/>
    <n v="93382.6"/>
    <n v="3395.7309090909093"/>
    <x v="15"/>
    <s v="TY"/>
    <x v="2"/>
    <n v="100000"/>
    <s v="Y"/>
    <x v="0"/>
  </r>
  <r>
    <n v="52"/>
    <x v="17"/>
    <n v="4"/>
    <n v="3"/>
    <n v="1"/>
    <n v="114660.6"/>
    <n v="3886.8"/>
    <x v="1"/>
    <s v="TY"/>
    <x v="2"/>
    <n v="100000"/>
    <s v="N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3EF68D-112D-FA46-BC48-90F68309220D}" name="PivotTable1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1" firstHeaderRow="1" firstDataRow="1" firstDataCol="1"/>
  <pivotFields count="13">
    <pivotField showAll="0"/>
    <pivotField showAll="0"/>
    <pivotField showAll="0"/>
    <pivotField showAll="0"/>
    <pivotField showAll="0"/>
    <pivotField dataField="1" showAll="0"/>
    <pivotField showAll="0"/>
    <pivotField axis="axisRow" showAll="0" sortType="descending">
      <items count="18">
        <item x="4"/>
        <item x="1"/>
        <item x="8"/>
        <item x="16"/>
        <item x="13"/>
        <item x="10"/>
        <item x="14"/>
        <item x="12"/>
        <item x="0"/>
        <item x="6"/>
        <item x="2"/>
        <item x="7"/>
        <item x="11"/>
        <item x="15"/>
        <item x="3"/>
        <item x="9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</pivotFields>
  <rowFields count="1">
    <field x="7"/>
  </rowFields>
  <rowItems count="18">
    <i>
      <x v="12"/>
    </i>
    <i>
      <x v="6"/>
    </i>
    <i>
      <x v="3"/>
    </i>
    <i>
      <x v="13"/>
    </i>
    <i>
      <x v="2"/>
    </i>
    <i>
      <x v="1"/>
    </i>
    <i>
      <x/>
    </i>
    <i>
      <x v="4"/>
    </i>
    <i>
      <x v="11"/>
    </i>
    <i>
      <x v="10"/>
    </i>
    <i>
      <x v="5"/>
    </i>
    <i>
      <x v="15"/>
    </i>
    <i>
      <x v="7"/>
    </i>
    <i>
      <x v="8"/>
    </i>
    <i>
      <x v="14"/>
    </i>
    <i>
      <x v="9"/>
    </i>
    <i>
      <x v="16"/>
    </i>
    <i t="grand">
      <x/>
    </i>
  </rowItems>
  <colItems count="1">
    <i/>
  </colItems>
  <dataFields count="1">
    <dataField name="Sum of Miles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17EC0E-206D-B54A-B9B3-CED5C7BAF433}" name="PivotTable4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0" firstHeaderRow="1" firstDataRow="1" firstDataCol="1"/>
  <pivotFields count="13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Row" showAll="0">
      <items count="7">
        <item x="4"/>
        <item x="2"/>
        <item x="1"/>
        <item x="3"/>
        <item x="0"/>
        <item x="5"/>
        <item t="default"/>
      </items>
    </pivotField>
    <pivotField showAll="0"/>
    <pivotField showAll="0"/>
    <pivotField showAll="0"/>
  </pivotFields>
  <rowFields count="1">
    <field x="9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verage of Miles" fld="5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65E025-730C-C04F-B031-15994C16EED9}" name="PivotTable5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/>
  <pivotFields count="13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</pivotFields>
  <rowFields count="1">
    <field x="12"/>
  </rowFields>
  <rowItems count="3">
    <i>
      <x/>
    </i>
    <i>
      <x v="1"/>
    </i>
    <i t="grand">
      <x/>
    </i>
  </rowItems>
  <colItems count="1">
    <i/>
  </colItems>
  <dataFields count="1">
    <dataField name="Count of Cars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5D5C08-251C-7A4B-B033-9171F6377ED7}" name="PivotTable6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Age of cars">
  <location ref="A3:B22" firstHeaderRow="1" firstDataRow="1" firstDataCol="1"/>
  <pivotFields count="13">
    <pivotField dataField="1" showAll="0"/>
    <pivotField axis="axisRow" showAll="0">
      <items count="19">
        <item x="0"/>
        <item x="2"/>
        <item x="1"/>
        <item x="4"/>
        <item x="3"/>
        <item x="5"/>
        <item x="7"/>
        <item x="8"/>
        <item x="6"/>
        <item x="12"/>
        <item x="9"/>
        <item x="16"/>
        <item x="10"/>
        <item x="11"/>
        <item x="15"/>
        <item x="13"/>
        <item x="14"/>
        <item x="1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Items count="1">
    <i/>
  </colItems>
  <dataFields count="1">
    <dataField name="Count of Cars as per age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6" xr16:uid="{097A8C80-7190-F54E-A2DA-57D70FD93E73}" autoFormatId="16" applyNumberFormats="0" applyBorderFormats="0" applyFontFormats="0" applyPatternFormats="0" applyAlignmentFormats="0" applyWidthHeightFormats="0">
  <queryTableRefresh nextId="14" unboundColumnsRight="6">
    <queryTableFields count="13">
      <queryTableField id="1" name="CarKey" tableColumnId="1"/>
      <queryTableField id="2" name="Age" tableColumnId="2"/>
      <queryTableField id="3" name="MakeModelKey" tableColumnId="3"/>
      <queryTableField id="4" name="DriverKey" tableColumnId="4"/>
      <queryTableField id="5" name="WaranteeKey" tableColumnId="5"/>
      <queryTableField id="6" name="Miles" tableColumnId="6"/>
      <queryTableField id="7" name="Miles / Year" tableColumnId="7"/>
      <queryTableField id="8" dataBound="0" tableColumnId="8"/>
      <queryTableField id="9" dataBound="0" tableColumnId="9"/>
      <queryTableField id="10" dataBound="0" tableColumnId="10"/>
      <queryTableField id="11" dataBound="0" tableColumnId="11"/>
      <queryTableField id="12" dataBound="0" tableColumnId="12"/>
      <queryTableField id="13" dataBound="0" tableColumnId="1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4" xr16:uid="{7C5B878E-1E9E-364D-B724-7ED5F81C19CF}" autoFormatId="16" applyNumberFormats="0" applyBorderFormats="0" applyFontFormats="0" applyPatternFormats="0" applyAlignmentFormats="0" applyWidthHeightFormats="0">
  <queryTableRefresh nextId="4">
    <queryTableFields count="3">
      <queryTableField id="1" name="WaranteeKey" tableColumnId="1"/>
      <queryTableField id="2" name="Warantee Miles" tableColumnId="2"/>
      <queryTableField id="3" name="Covered?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2" xr16:uid="{94062C42-10F1-274F-94D4-A618298C1454}" autoFormatId="16" applyNumberFormats="0" applyBorderFormats="0" applyFontFormats="0" applyPatternFormats="0" applyAlignmentFormats="0" applyWidthHeightFormats="0">
  <queryTableRefresh nextId="6">
    <queryTableFields count="5">
      <queryTableField id="1" name="CarKey" tableColumnId="1"/>
      <queryTableField id="2" name="Car ID" tableColumnId="2"/>
      <queryTableField id="3" name="Manufacture Year" tableColumnId="3"/>
      <queryTableField id="4" name="Age" tableColumnId="4"/>
      <queryTableField id="5" name="Color" tableColumnId="5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B9591FD7-39E8-C94B-A7E6-B2CC188C1E6F}" autoFormatId="16" applyNumberFormats="0" applyBorderFormats="0" applyFontFormats="0" applyPatternFormats="0" applyAlignmentFormats="0" applyWidthHeightFormats="0">
  <queryTableRefresh nextId="6">
    <queryTableFields count="5">
      <queryTableField id="1" name="MakeModelKey" tableColumnId="1"/>
      <queryTableField id="2" name="Make" tableColumnId="2"/>
      <queryTableField id="3" name="Make (Full Name)" tableColumnId="3"/>
      <queryTableField id="4" name="Model" tableColumnId="4"/>
      <queryTableField id="5" name="Model (Full Name)" tableColumnId="5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5" xr16:uid="{25AC24FA-700E-0445-A797-F1216007A650}" autoFormatId="16" applyNumberFormats="0" applyBorderFormats="0" applyFontFormats="0" applyPatternFormats="0" applyAlignmentFormats="0" applyWidthHeightFormats="0">
  <queryTableRefresh nextId="3">
    <queryTableFields count="2">
      <queryTableField id="1" name="DriverKey" tableColumnId="1"/>
      <queryTableField id="2" name="Driver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8B50F92-1540-AF41-8762-666F66D67D8C}" name="FactCarInventory" displayName="FactCarInventory" ref="A1:M53" tableType="queryTable" totalsRowShown="0">
  <autoFilter ref="A1:M53" xr:uid="{38B50F92-1540-AF41-8762-666F66D67D8C}"/>
  <tableColumns count="13">
    <tableColumn id="1" xr3:uid="{3C68DBC2-D129-3C47-95E5-97305CFCC282}" uniqueName="1" name="CarKey" queryTableFieldId="1"/>
    <tableColumn id="2" xr3:uid="{3D1F7CBB-381E-4249-95C8-718008BA8F35}" uniqueName="2" name="Age" queryTableFieldId="2"/>
    <tableColumn id="3" xr3:uid="{83BCC7FB-5A20-C549-ADF9-52850BC0AFDA}" uniqueName="3" name="MakeModelKey" queryTableFieldId="3"/>
    <tableColumn id="4" xr3:uid="{FF40AFC4-50E3-394B-8441-8B6E19DBCFFA}" uniqueName="4" name="DriverKey" queryTableFieldId="4"/>
    <tableColumn id="5" xr3:uid="{A879EADD-B23A-A849-9969-E9CD2A3AE655}" uniqueName="5" name="WaranteeKey" queryTableFieldId="5"/>
    <tableColumn id="6" xr3:uid="{BF4F0125-F0B1-4844-930E-38E735CCB97E}" uniqueName="6" name="Miles" queryTableFieldId="6"/>
    <tableColumn id="7" xr3:uid="{F21067C3-CD12-AF4D-92E6-00506FB53C72}" uniqueName="7" name="Miles / Year" queryTableFieldId="7"/>
    <tableColumn id="8" xr3:uid="{D3864782-3F56-3041-A3E3-2A56F78B6DCA}" uniqueName="8" name="Drivername" queryTableFieldId="8" dataDxfId="13">
      <calculatedColumnFormula>_xlfn.XLOOKUP(FactCarInventory[[#This Row],[DriverKey]],DriverDim[DriverKey],DriverDim[Driver])</calculatedColumnFormula>
    </tableColumn>
    <tableColumn id="9" xr3:uid="{8ADCA945-90EC-9043-9FE9-6761BC1DFF83}" uniqueName="9" name="Make" queryTableFieldId="9" dataDxfId="12">
      <calculatedColumnFormula>_xlfn.XLOOKUP(FactCarInventory[[#This Row],[MakeModelKey]],DimMakeModel[MakeModelKey],DimMakeModel[Make])</calculatedColumnFormula>
    </tableColumn>
    <tableColumn id="10" xr3:uid="{6B99C238-EB31-EA47-BE9E-3E83A76D0713}" uniqueName="10" name="Model" queryTableFieldId="10" dataDxfId="11">
      <calculatedColumnFormula>_xlfn.XLOOKUP(FactCarInventory[[#This Row],[MakeModelKey]],DimMakeModel[MakeModelKey],DimMakeModel[Model])</calculatedColumnFormula>
    </tableColumn>
    <tableColumn id="11" xr3:uid="{8609825C-4053-1C46-9920-00E152A8C4DA}" uniqueName="11" name="WarrantyMiles" queryTableFieldId="11" dataDxfId="10">
      <calculatedColumnFormula>_xlfn.XLOOKUP(FactCarInventory[[#This Row],[WaranteeKey]],DimWarranty[WaranteeKey],DimWarranty[Warantee Miles])</calculatedColumnFormula>
    </tableColumn>
    <tableColumn id="12" xr3:uid="{A13199F4-A0E2-124C-9A19-88FA6BE86658}" uniqueName="12" name="Covered" queryTableFieldId="12" dataDxfId="9">
      <calculatedColumnFormula>_xlfn.XLOOKUP(FactCarInventory[[#This Row],[WaranteeKey]],DimWarranty[WaranteeKey],DimWarranty[Covered?])</calculatedColumnFormula>
    </tableColumn>
    <tableColumn id="13" xr3:uid="{74E11664-7094-3641-88A7-03C07E7756B0}" uniqueName="13" name="WarrrantyRisk" queryTableFieldId="13" dataDxfId="8">
      <calculatedColumnFormula>IF(FactCarInventory[[#This Row],[Miles]]&gt;FactCarInventory[[#This Row],[WarrantyMiles]],"Exceeded","WithinLimit")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F3F68C5-8393-374B-829B-39DB8F97B94D}" name="DimWarranty" displayName="DimWarranty" ref="A1:C4" tableType="queryTable" totalsRowShown="0">
  <autoFilter ref="A1:C4" xr:uid="{AF3F68C5-8393-374B-829B-39DB8F97B94D}"/>
  <tableColumns count="3">
    <tableColumn id="1" xr3:uid="{FB328EF0-87B5-274A-945E-716ACAD64725}" uniqueName="1" name="WaranteeKey" queryTableFieldId="1"/>
    <tableColumn id="2" xr3:uid="{696E7817-FDF7-1049-AEB2-B340E2BE6410}" uniqueName="2" name="Warantee Miles" queryTableFieldId="2"/>
    <tableColumn id="3" xr3:uid="{D96FCFE5-6B6F-2E4D-92E7-79BBCD626A08}" uniqueName="3" name="Covered?" queryTableFieldId="3" dataDxfId="7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69D1A6F-7573-9E4E-98A3-DBD9DE9C7547}" name="DimCar" displayName="DimCar" ref="A1:E53" tableType="queryTable" totalsRowShown="0">
  <autoFilter ref="A1:E53" xr:uid="{B69D1A6F-7573-9E4E-98A3-DBD9DE9C7547}"/>
  <tableColumns count="5">
    <tableColumn id="1" xr3:uid="{3328A8B0-2C06-F444-B47D-FAAFB5A38FC0}" uniqueName="1" name="CarKey" queryTableFieldId="1"/>
    <tableColumn id="2" xr3:uid="{9E31E031-007B-4348-AC8B-5D2D865AB6F0}" uniqueName="2" name="Car ID" queryTableFieldId="2" dataDxfId="6"/>
    <tableColumn id="3" xr3:uid="{8579BDBA-B42E-384A-B99D-B769E2303486}" uniqueName="3" name="Manufacture Year" queryTableFieldId="3"/>
    <tableColumn id="4" xr3:uid="{492077EF-F2F1-484E-99D9-60984CD43974}" uniqueName="4" name="Age" queryTableFieldId="4"/>
    <tableColumn id="5" xr3:uid="{5C3AC64A-F82D-8148-91F1-43755DDB278F}" uniqueName="5" name="Color" queryTableFieldId="5" dataDxfId="5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2325255-BF55-CB4C-8E95-0250B5CC1731}" name="DimMakeModel" displayName="DimMakeModel" ref="A1:E7" tableType="queryTable" totalsRowShown="0">
  <autoFilter ref="A1:E7" xr:uid="{12325255-BF55-CB4C-8E95-0250B5CC1731}"/>
  <tableColumns count="5">
    <tableColumn id="1" xr3:uid="{90316051-1BE4-D247-83D6-93C209150D35}" uniqueName="1" name="MakeModelKey" queryTableFieldId="1"/>
    <tableColumn id="2" xr3:uid="{08299A9C-E71A-3240-A888-422D65933802}" uniqueName="2" name="Make" queryTableFieldId="2" dataDxfId="4"/>
    <tableColumn id="3" xr3:uid="{241BA109-C889-4D45-B84D-06910C04D585}" uniqueName="3" name="Make (Full Name)" queryTableFieldId="3" dataDxfId="3"/>
    <tableColumn id="4" xr3:uid="{7A820A5F-72B2-CF4C-A6B3-BB5DB947CAF2}" uniqueName="4" name="Model" queryTableFieldId="4" dataDxfId="2"/>
    <tableColumn id="5" xr3:uid="{9AD4A732-5A4B-9046-9606-56CF9AED2C98}" uniqueName="5" name="Model (Full Name)" queryTableFieldId="5" dataDxfId="1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133CCB8-EF14-394A-ACE2-B8E4BE3D54AB}" name="DriverDim" displayName="DriverDim" ref="A1:B18" tableType="queryTable" totalsRowShown="0">
  <autoFilter ref="A1:B18" xr:uid="{7133CCB8-EF14-394A-ACE2-B8E4BE3D54AB}"/>
  <tableColumns count="2">
    <tableColumn id="1" xr3:uid="{14A0DA61-95BA-F641-A6DA-9A701793F4E0}" uniqueName="1" name="DriverKey" queryTableFieldId="1"/>
    <tableColumn id="2" xr3:uid="{90ABEF9A-E3A7-994E-B229-D37E2A1CA159}" uniqueName="2" name="Driver" queryTableFieldId="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7200A-3393-4F42-AD2C-91687E9BA53F}">
  <dimension ref="A3:B21"/>
  <sheetViews>
    <sheetView topLeftCell="A2" workbookViewId="0">
      <selection activeCell="A2" sqref="A2"/>
    </sheetView>
  </sheetViews>
  <sheetFormatPr baseColWidth="10" defaultRowHeight="16" x14ac:dyDescent="0.2"/>
  <cols>
    <col min="1" max="1" width="13" bestFit="1" customWidth="1"/>
    <col min="2" max="2" width="11.6640625" bestFit="1" customWidth="1"/>
  </cols>
  <sheetData>
    <row r="3" spans="1:2" x14ac:dyDescent="0.2">
      <c r="A3" s="1" t="s">
        <v>111</v>
      </c>
      <c r="B3" t="s">
        <v>113</v>
      </c>
    </row>
    <row r="4" spans="1:2" x14ac:dyDescent="0.2">
      <c r="A4" s="2" t="s">
        <v>15</v>
      </c>
      <c r="B4" s="3">
        <v>305432.40000000002</v>
      </c>
    </row>
    <row r="5" spans="1:2" x14ac:dyDescent="0.2">
      <c r="A5" s="2" t="s">
        <v>23</v>
      </c>
      <c r="B5" s="3">
        <v>184693.8</v>
      </c>
    </row>
    <row r="6" spans="1:2" x14ac:dyDescent="0.2">
      <c r="A6" s="2" t="s">
        <v>57</v>
      </c>
      <c r="B6" s="3">
        <v>179986</v>
      </c>
    </row>
    <row r="7" spans="1:2" x14ac:dyDescent="0.2">
      <c r="A7" s="2" t="s">
        <v>51</v>
      </c>
      <c r="B7" s="3">
        <v>177713.9</v>
      </c>
    </row>
    <row r="8" spans="1:2" x14ac:dyDescent="0.2">
      <c r="A8" s="2" t="s">
        <v>25</v>
      </c>
      <c r="B8" s="3">
        <v>154427.9</v>
      </c>
    </row>
    <row r="9" spans="1:2" x14ac:dyDescent="0.2">
      <c r="A9" s="2" t="s">
        <v>49</v>
      </c>
      <c r="B9" s="3">
        <v>150656.40000000002</v>
      </c>
    </row>
    <row r="10" spans="1:2" x14ac:dyDescent="0.2">
      <c r="A10" s="2" t="s">
        <v>40</v>
      </c>
      <c r="B10" s="3">
        <v>144647.70000000001</v>
      </c>
    </row>
    <row r="11" spans="1:2" x14ac:dyDescent="0.2">
      <c r="A11" s="2" t="s">
        <v>28</v>
      </c>
      <c r="B11" s="3">
        <v>143640.70000000001</v>
      </c>
    </row>
    <row r="12" spans="1:2" x14ac:dyDescent="0.2">
      <c r="A12" s="2" t="s">
        <v>38</v>
      </c>
      <c r="B12" s="3">
        <v>141229.4</v>
      </c>
    </row>
    <row r="13" spans="1:2" x14ac:dyDescent="0.2">
      <c r="A13" s="2" t="s">
        <v>37</v>
      </c>
      <c r="B13" s="3">
        <v>138561.5</v>
      </c>
    </row>
    <row r="14" spans="1:2" x14ac:dyDescent="0.2">
      <c r="A14" s="2" t="s">
        <v>44</v>
      </c>
      <c r="B14" s="3">
        <v>135078.20000000001</v>
      </c>
    </row>
    <row r="15" spans="1:2" x14ac:dyDescent="0.2">
      <c r="A15" s="2" t="s">
        <v>35</v>
      </c>
      <c r="B15" s="3">
        <v>130601.60000000001</v>
      </c>
    </row>
    <row r="16" spans="1:2" x14ac:dyDescent="0.2">
      <c r="A16" s="2" t="s">
        <v>21</v>
      </c>
      <c r="B16" s="3">
        <v>127731.3</v>
      </c>
    </row>
    <row r="17" spans="1:2" x14ac:dyDescent="0.2">
      <c r="A17" s="2" t="s">
        <v>18</v>
      </c>
      <c r="B17" s="3">
        <v>70964.899999999994</v>
      </c>
    </row>
    <row r="18" spans="1:2" x14ac:dyDescent="0.2">
      <c r="A18" s="2" t="s">
        <v>42</v>
      </c>
      <c r="B18" s="3">
        <v>65964.899999999994</v>
      </c>
    </row>
    <row r="19" spans="1:2" x14ac:dyDescent="0.2">
      <c r="A19" s="2" t="s">
        <v>31</v>
      </c>
      <c r="B19" s="3">
        <v>65315</v>
      </c>
    </row>
    <row r="20" spans="1:2" x14ac:dyDescent="0.2">
      <c r="A20" s="2" t="s">
        <v>33</v>
      </c>
      <c r="B20" s="3">
        <v>19341.7</v>
      </c>
    </row>
    <row r="21" spans="1:2" x14ac:dyDescent="0.2">
      <c r="A21" s="2" t="s">
        <v>112</v>
      </c>
      <c r="B21" s="3">
        <v>2335987.2999999998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E7FFE-A583-7148-A9B5-F13BFEBE38AE}">
  <dimension ref="A3:B10"/>
  <sheetViews>
    <sheetView workbookViewId="0">
      <selection activeCell="A3" sqref="A3"/>
    </sheetView>
  </sheetViews>
  <sheetFormatPr baseColWidth="10" defaultRowHeight="16" x14ac:dyDescent="0.2"/>
  <cols>
    <col min="1" max="1" width="13" bestFit="1" customWidth="1"/>
    <col min="2" max="2" width="14.6640625" bestFit="1" customWidth="1"/>
  </cols>
  <sheetData>
    <row r="3" spans="1:2" x14ac:dyDescent="0.2">
      <c r="A3" s="1" t="s">
        <v>111</v>
      </c>
      <c r="B3" t="s">
        <v>127</v>
      </c>
    </row>
    <row r="4" spans="1:2" x14ac:dyDescent="0.2">
      <c r="A4" s="2" t="s">
        <v>96</v>
      </c>
      <c r="B4" s="3">
        <v>42861.399999999994</v>
      </c>
    </row>
    <row r="5" spans="1:2" x14ac:dyDescent="0.2">
      <c r="A5" s="2" t="s">
        <v>97</v>
      </c>
      <c r="B5" s="3">
        <v>61711.27</v>
      </c>
    </row>
    <row r="6" spans="1:2" x14ac:dyDescent="0.2">
      <c r="A6" s="2" t="s">
        <v>101</v>
      </c>
      <c r="B6" s="3">
        <v>23449.175000000003</v>
      </c>
    </row>
    <row r="7" spans="1:2" x14ac:dyDescent="0.2">
      <c r="A7" s="2" t="s">
        <v>95</v>
      </c>
      <c r="B7" s="3">
        <v>34510.876923076925</v>
      </c>
    </row>
    <row r="8" spans="1:2" x14ac:dyDescent="0.2">
      <c r="A8" s="2" t="s">
        <v>98</v>
      </c>
      <c r="B8" s="3">
        <v>41947.283333333333</v>
      </c>
    </row>
    <row r="9" spans="1:2" x14ac:dyDescent="0.2">
      <c r="A9" s="2" t="s">
        <v>99</v>
      </c>
      <c r="B9" s="3">
        <v>59414.385714285716</v>
      </c>
    </row>
    <row r="10" spans="1:2" x14ac:dyDescent="0.2">
      <c r="A10" s="2" t="s">
        <v>112</v>
      </c>
      <c r="B10" s="3">
        <v>44922.832692307697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5413E-C220-834A-A5FF-41029A6D6698}">
  <dimension ref="A3:B6"/>
  <sheetViews>
    <sheetView workbookViewId="0">
      <selection activeCell="B3" sqref="B3"/>
    </sheetView>
  </sheetViews>
  <sheetFormatPr baseColWidth="10" defaultRowHeight="16" x14ac:dyDescent="0.2"/>
  <cols>
    <col min="1" max="1" width="13" bestFit="1" customWidth="1"/>
    <col min="2" max="2" width="12.5" bestFit="1" customWidth="1"/>
  </cols>
  <sheetData>
    <row r="3" spans="1:2" x14ac:dyDescent="0.2">
      <c r="A3" s="1" t="s">
        <v>111</v>
      </c>
      <c r="B3" t="s">
        <v>126</v>
      </c>
    </row>
    <row r="4" spans="1:2" x14ac:dyDescent="0.2">
      <c r="A4" s="2" t="s">
        <v>124</v>
      </c>
      <c r="B4" s="3">
        <v>4</v>
      </c>
    </row>
    <row r="5" spans="1:2" x14ac:dyDescent="0.2">
      <c r="A5" s="2" t="s">
        <v>125</v>
      </c>
      <c r="B5" s="3">
        <v>48</v>
      </c>
    </row>
    <row r="6" spans="1:2" x14ac:dyDescent="0.2">
      <c r="A6" s="2" t="s">
        <v>112</v>
      </c>
      <c r="B6" s="3">
        <v>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C54EF-0DEB-8C4C-9BBD-0F81C6B106A3}">
  <dimension ref="A3:B22"/>
  <sheetViews>
    <sheetView workbookViewId="0">
      <selection activeCell="H11" sqref="H11"/>
    </sheetView>
  </sheetViews>
  <sheetFormatPr baseColWidth="10" defaultRowHeight="16" x14ac:dyDescent="0.2"/>
  <cols>
    <col min="1" max="1" width="12.83203125" bestFit="1" customWidth="1"/>
    <col min="2" max="2" width="21.5" bestFit="1" customWidth="1"/>
  </cols>
  <sheetData>
    <row r="3" spans="1:2" x14ac:dyDescent="0.2">
      <c r="A3" s="1" t="s">
        <v>128</v>
      </c>
      <c r="B3" t="s">
        <v>129</v>
      </c>
    </row>
    <row r="4" spans="1:2" x14ac:dyDescent="0.2">
      <c r="A4" s="2">
        <v>11</v>
      </c>
      <c r="B4" s="3">
        <v>3</v>
      </c>
    </row>
    <row r="5" spans="1:2" x14ac:dyDescent="0.2">
      <c r="A5" s="2">
        <v>12</v>
      </c>
      <c r="B5" s="3">
        <v>7</v>
      </c>
    </row>
    <row r="6" spans="1:2" x14ac:dyDescent="0.2">
      <c r="A6" s="2">
        <v>13</v>
      </c>
      <c r="B6" s="3">
        <v>6</v>
      </c>
    </row>
    <row r="7" spans="1:2" x14ac:dyDescent="0.2">
      <c r="A7" s="2">
        <v>14</v>
      </c>
      <c r="B7" s="3">
        <v>3</v>
      </c>
    </row>
    <row r="8" spans="1:2" x14ac:dyDescent="0.2">
      <c r="A8" s="2">
        <v>15</v>
      </c>
      <c r="B8" s="3">
        <v>3</v>
      </c>
    </row>
    <row r="9" spans="1:2" x14ac:dyDescent="0.2">
      <c r="A9" s="2">
        <v>16</v>
      </c>
      <c r="B9" s="3">
        <v>3</v>
      </c>
    </row>
    <row r="10" spans="1:2" x14ac:dyDescent="0.2">
      <c r="A10" s="2">
        <v>17</v>
      </c>
      <c r="B10" s="3">
        <v>4</v>
      </c>
    </row>
    <row r="11" spans="1:2" x14ac:dyDescent="0.2">
      <c r="A11" s="2">
        <v>18</v>
      </c>
      <c r="B11" s="3">
        <v>2</v>
      </c>
    </row>
    <row r="12" spans="1:2" x14ac:dyDescent="0.2">
      <c r="A12" s="2">
        <v>19</v>
      </c>
      <c r="B12" s="3">
        <v>4</v>
      </c>
    </row>
    <row r="13" spans="1:2" x14ac:dyDescent="0.2">
      <c r="A13" s="2">
        <v>20</v>
      </c>
      <c r="B13" s="3">
        <v>1</v>
      </c>
    </row>
    <row r="14" spans="1:2" x14ac:dyDescent="0.2">
      <c r="A14" s="2">
        <v>21</v>
      </c>
      <c r="B14" s="3">
        <v>3</v>
      </c>
    </row>
    <row r="15" spans="1:2" x14ac:dyDescent="0.2">
      <c r="A15" s="2">
        <v>22</v>
      </c>
      <c r="B15" s="3">
        <v>1</v>
      </c>
    </row>
    <row r="16" spans="1:2" x14ac:dyDescent="0.2">
      <c r="A16" s="2">
        <v>23</v>
      </c>
      <c r="B16" s="3">
        <v>2</v>
      </c>
    </row>
    <row r="17" spans="1:2" x14ac:dyDescent="0.2">
      <c r="A17" s="2">
        <v>24</v>
      </c>
      <c r="B17" s="3">
        <v>2</v>
      </c>
    </row>
    <row r="18" spans="1:2" x14ac:dyDescent="0.2">
      <c r="A18" s="2">
        <v>25</v>
      </c>
      <c r="B18" s="3">
        <v>3</v>
      </c>
    </row>
    <row r="19" spans="1:2" x14ac:dyDescent="0.2">
      <c r="A19" s="2">
        <v>26</v>
      </c>
      <c r="B19" s="3">
        <v>2</v>
      </c>
    </row>
    <row r="20" spans="1:2" x14ac:dyDescent="0.2">
      <c r="A20" s="2">
        <v>27</v>
      </c>
      <c r="B20" s="3">
        <v>2</v>
      </c>
    </row>
    <row r="21" spans="1:2" x14ac:dyDescent="0.2">
      <c r="A21" s="2">
        <v>29</v>
      </c>
      <c r="B21" s="3">
        <v>1</v>
      </c>
    </row>
    <row r="22" spans="1:2" x14ac:dyDescent="0.2">
      <c r="A22" s="2" t="s">
        <v>112</v>
      </c>
      <c r="B22" s="3">
        <v>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1B69E-938A-1646-A0CF-1907FD3ED883}">
  <dimension ref="A1:M53"/>
  <sheetViews>
    <sheetView workbookViewId="0">
      <selection activeCell="Q25" sqref="Q25"/>
    </sheetView>
  </sheetViews>
  <sheetFormatPr baseColWidth="10" defaultRowHeight="16" x14ac:dyDescent="0.2"/>
  <cols>
    <col min="1" max="1" width="9.6640625" bestFit="1" customWidth="1"/>
    <col min="2" max="2" width="6.83203125" bestFit="1" customWidth="1"/>
    <col min="3" max="3" width="16.1640625" bestFit="1" customWidth="1"/>
    <col min="4" max="4" width="11.6640625" bestFit="1" customWidth="1"/>
    <col min="5" max="5" width="14.6640625" bestFit="1" customWidth="1"/>
    <col min="6" max="6" width="9.1640625" bestFit="1" customWidth="1"/>
    <col min="7" max="7" width="13.1640625" bestFit="1" customWidth="1"/>
  </cols>
  <sheetData>
    <row r="1" spans="1:13" x14ac:dyDescent="0.2">
      <c r="A1" t="s">
        <v>117</v>
      </c>
      <c r="B1" t="s">
        <v>6</v>
      </c>
      <c r="C1" t="s">
        <v>116</v>
      </c>
      <c r="D1" t="s">
        <v>115</v>
      </c>
      <c r="E1" t="s">
        <v>118</v>
      </c>
      <c r="F1" t="s">
        <v>7</v>
      </c>
      <c r="G1" t="s">
        <v>8</v>
      </c>
      <c r="H1" t="s">
        <v>119</v>
      </c>
      <c r="I1" t="s">
        <v>1</v>
      </c>
      <c r="J1" t="s">
        <v>3</v>
      </c>
      <c r="K1" t="s">
        <v>120</v>
      </c>
      <c r="L1" t="s">
        <v>121</v>
      </c>
      <c r="M1" t="s">
        <v>122</v>
      </c>
    </row>
    <row r="2" spans="1:13" x14ac:dyDescent="0.2">
      <c r="A2">
        <v>1</v>
      </c>
      <c r="B2">
        <v>11</v>
      </c>
      <c r="C2">
        <v>1</v>
      </c>
      <c r="D2">
        <v>1</v>
      </c>
      <c r="E2">
        <v>1</v>
      </c>
      <c r="F2">
        <v>3708.1</v>
      </c>
      <c r="G2">
        <v>322.44347826086954</v>
      </c>
      <c r="H2" t="str">
        <f>_xlfn.XLOOKUP(FactCarInventory[[#This Row],[DriverKey]],DriverDim[DriverKey],DriverDim[Driver])</f>
        <v>McCall</v>
      </c>
      <c r="I2" t="str">
        <f>_xlfn.XLOOKUP(FactCarInventory[[#This Row],[MakeModelKey]],DimMakeModel[MakeModelKey],DimMakeModel[Make])</f>
        <v>HO</v>
      </c>
      <c r="J2" t="str">
        <f>_xlfn.XLOOKUP(FactCarInventory[[#This Row],[MakeModelKey]],DimMakeModel[MakeModelKey],DimMakeModel[Model])</f>
        <v>ODY</v>
      </c>
      <c r="K2">
        <f>_xlfn.XLOOKUP(FactCarInventory[[#This Row],[WaranteeKey]],DimWarranty[WaranteeKey],DimWarranty[Warantee Miles])</f>
        <v>100000</v>
      </c>
      <c r="L2" t="str">
        <f>_xlfn.XLOOKUP(FactCarInventory[[#This Row],[WaranteeKey]],DimWarranty[WaranteeKey],DimWarranty[Covered?])</f>
        <v>Y</v>
      </c>
      <c r="M2" t="str">
        <f>IF(FactCarInventory[[#This Row],[Miles]]&gt;FactCarInventory[[#This Row],[WarrantyMiles]],"Exceeded","WithinLimit")</f>
        <v>WithinLimit</v>
      </c>
    </row>
    <row r="3" spans="1:13" x14ac:dyDescent="0.2">
      <c r="A3">
        <v>11</v>
      </c>
      <c r="B3">
        <v>13</v>
      </c>
      <c r="C3">
        <v>5</v>
      </c>
      <c r="D3">
        <v>1</v>
      </c>
      <c r="E3">
        <v>1</v>
      </c>
      <c r="F3">
        <v>22282</v>
      </c>
      <c r="G3">
        <v>1650.5185185185185</v>
      </c>
      <c r="H3" t="str">
        <f>_xlfn.XLOOKUP(FactCarInventory[[#This Row],[DriverKey]],DriverDim[DriverKey],DriverDim[Driver])</f>
        <v>McCall</v>
      </c>
      <c r="I3" t="str">
        <f>_xlfn.XLOOKUP(FactCarInventory[[#This Row],[MakeModelKey]],DimMakeModel[MakeModelKey],DimMakeModel[Make])</f>
        <v>HY</v>
      </c>
      <c r="J3" t="str">
        <f>_xlfn.XLOOKUP(FactCarInventory[[#This Row],[MakeModelKey]],DimMakeModel[MakeModelKey],DimMakeModel[Model])</f>
        <v>ELA</v>
      </c>
      <c r="K3">
        <f>_xlfn.XLOOKUP(FactCarInventory[[#This Row],[WaranteeKey]],DimWarranty[WaranteeKey],DimWarranty[Warantee Miles])</f>
        <v>100000</v>
      </c>
      <c r="L3" t="str">
        <f>_xlfn.XLOOKUP(FactCarInventory[[#This Row],[WaranteeKey]],DimWarranty[WaranteeKey],DimWarranty[Covered?])</f>
        <v>Y</v>
      </c>
      <c r="M3" t="str">
        <f>IF(FactCarInventory[[#This Row],[Miles]]&gt;FactCarInventory[[#This Row],[WarrantyMiles]],"Exceeded","WithinLimit")</f>
        <v>WithinLimit</v>
      </c>
    </row>
    <row r="4" spans="1:13" x14ac:dyDescent="0.2">
      <c r="A4">
        <v>3</v>
      </c>
      <c r="B4">
        <v>12</v>
      </c>
      <c r="C4">
        <v>1</v>
      </c>
      <c r="D4">
        <v>3</v>
      </c>
      <c r="E4">
        <v>2</v>
      </c>
      <c r="F4">
        <v>13867.6</v>
      </c>
      <c r="G4">
        <v>1109.4080000000001</v>
      </c>
      <c r="H4" t="str">
        <f>_xlfn.XLOOKUP(FactCarInventory[[#This Row],[DriverKey]],DriverDim[DriverKey],DriverDim[Driver])</f>
        <v>Chan</v>
      </c>
      <c r="I4" t="str">
        <f>_xlfn.XLOOKUP(FactCarInventory[[#This Row],[MakeModelKey]],DimMakeModel[MakeModelKey],DimMakeModel[Make])</f>
        <v>HO</v>
      </c>
      <c r="J4" t="str">
        <f>_xlfn.XLOOKUP(FactCarInventory[[#This Row],[MakeModelKey]],DimMakeModel[MakeModelKey],DimMakeModel[Model])</f>
        <v>ODY</v>
      </c>
      <c r="K4">
        <f>_xlfn.XLOOKUP(FactCarInventory[[#This Row],[WaranteeKey]],DimWarranty[WaranteeKey],DimWarranty[Warantee Miles])</f>
        <v>75000</v>
      </c>
      <c r="L4" t="str">
        <f>_xlfn.XLOOKUP(FactCarInventory[[#This Row],[WaranteeKey]],DimWarranty[WaranteeKey],DimWarranty[Covered?])</f>
        <v>Y</v>
      </c>
      <c r="M4" t="str">
        <f>IF(FactCarInventory[[#This Row],[Miles]]&gt;FactCarInventory[[#This Row],[WarrantyMiles]],"Exceeded","WithinLimit")</f>
        <v>WithinLimit</v>
      </c>
    </row>
    <row r="5" spans="1:13" x14ac:dyDescent="0.2">
      <c r="A5">
        <v>10</v>
      </c>
      <c r="B5">
        <v>13</v>
      </c>
      <c r="C5">
        <v>4</v>
      </c>
      <c r="D5">
        <v>3</v>
      </c>
      <c r="E5">
        <v>1</v>
      </c>
      <c r="F5">
        <v>22128.2</v>
      </c>
      <c r="G5">
        <v>1639.1259259259259</v>
      </c>
      <c r="H5" t="str">
        <f>_xlfn.XLOOKUP(FactCarInventory[[#This Row],[DriverKey]],DriverDim[DriverKey],DriverDim[Driver])</f>
        <v>Chan</v>
      </c>
      <c r="I5" t="str">
        <f>_xlfn.XLOOKUP(FactCarInventory[[#This Row],[MakeModelKey]],DimMakeModel[MakeModelKey],DimMakeModel[Make])</f>
        <v>TY</v>
      </c>
      <c r="J5" t="str">
        <f>_xlfn.XLOOKUP(FactCarInventory[[#This Row],[MakeModelKey]],DimMakeModel[MakeModelKey],DimMakeModel[Model])</f>
        <v>COR</v>
      </c>
      <c r="K5">
        <f>_xlfn.XLOOKUP(FactCarInventory[[#This Row],[WaranteeKey]],DimWarranty[WaranteeKey],DimWarranty[Warantee Miles])</f>
        <v>100000</v>
      </c>
      <c r="L5" t="str">
        <f>_xlfn.XLOOKUP(FactCarInventory[[#This Row],[WaranteeKey]],DimWarranty[WaranteeKey],DimWarranty[Covered?])</f>
        <v>Y</v>
      </c>
      <c r="M5" t="str">
        <f>IF(FactCarInventory[[#This Row],[Miles]]&gt;FactCarInventory[[#This Row],[WarrantyMiles]],"Exceeded","WithinLimit")</f>
        <v>WithinLimit</v>
      </c>
    </row>
    <row r="6" spans="1:13" x14ac:dyDescent="0.2">
      <c r="A6">
        <v>2</v>
      </c>
      <c r="B6">
        <v>12</v>
      </c>
      <c r="C6">
        <v>2</v>
      </c>
      <c r="D6">
        <v>2</v>
      </c>
      <c r="E6">
        <v>2</v>
      </c>
      <c r="F6">
        <v>13682.9</v>
      </c>
      <c r="G6">
        <v>1094.6320000000001</v>
      </c>
      <c r="H6" t="str">
        <f>_xlfn.XLOOKUP(FactCarInventory[[#This Row],[DriverKey]],DriverDim[DriverKey],DriverDim[Driver])</f>
        <v>Rodriguez</v>
      </c>
      <c r="I6" t="str">
        <f>_xlfn.XLOOKUP(FactCarInventory[[#This Row],[MakeModelKey]],DimMakeModel[MakeModelKey],DimMakeModel[Make])</f>
        <v>FD</v>
      </c>
      <c r="J6" t="str">
        <f>_xlfn.XLOOKUP(FactCarInventory[[#This Row],[MakeModelKey]],DimMakeModel[MakeModelKey],DimMakeModel[Model])</f>
        <v>FCS</v>
      </c>
      <c r="K6">
        <f>_xlfn.XLOOKUP(FactCarInventory[[#This Row],[WaranteeKey]],DimWarranty[WaranteeKey],DimWarranty[Warantee Miles])</f>
        <v>75000</v>
      </c>
      <c r="L6" t="str">
        <f>_xlfn.XLOOKUP(FactCarInventory[[#This Row],[WaranteeKey]],DimWarranty[WaranteeKey],DimWarranty[Covered?])</f>
        <v>Y</v>
      </c>
      <c r="M6" t="str">
        <f>IF(FactCarInventory[[#This Row],[Miles]]&gt;FactCarInventory[[#This Row],[WarrantyMiles]],"Exceeded","WithinLimit")</f>
        <v>WithinLimit</v>
      </c>
    </row>
    <row r="7" spans="1:13" x14ac:dyDescent="0.2">
      <c r="A7">
        <v>7</v>
      </c>
      <c r="B7">
        <v>15</v>
      </c>
      <c r="C7">
        <v>1</v>
      </c>
      <c r="D7">
        <v>4</v>
      </c>
      <c r="E7">
        <v>2</v>
      </c>
      <c r="F7">
        <v>22573</v>
      </c>
      <c r="G7">
        <v>1456.3225806451612</v>
      </c>
      <c r="H7" t="str">
        <f>_xlfn.XLOOKUP(FactCarInventory[[#This Row],[DriverKey]],DriverDim[DriverKey],DriverDim[Driver])</f>
        <v>Torrens</v>
      </c>
      <c r="I7" t="str">
        <f>_xlfn.XLOOKUP(FactCarInventory[[#This Row],[MakeModelKey]],DimMakeModel[MakeModelKey],DimMakeModel[Make])</f>
        <v>HO</v>
      </c>
      <c r="J7" t="str">
        <f>_xlfn.XLOOKUP(FactCarInventory[[#This Row],[MakeModelKey]],DimMakeModel[MakeModelKey],DimMakeModel[Model])</f>
        <v>ODY</v>
      </c>
      <c r="K7">
        <f>_xlfn.XLOOKUP(FactCarInventory[[#This Row],[WaranteeKey]],DimWarranty[WaranteeKey],DimWarranty[Warantee Miles])</f>
        <v>75000</v>
      </c>
      <c r="L7" t="str">
        <f>_xlfn.XLOOKUP(FactCarInventory[[#This Row],[WaranteeKey]],DimWarranty[WaranteeKey],DimWarranty[Covered?])</f>
        <v>Y</v>
      </c>
      <c r="M7" t="str">
        <f>IF(FactCarInventory[[#This Row],[Miles]]&gt;FactCarInventory[[#This Row],[WarrantyMiles]],"Exceeded","WithinLimit")</f>
        <v>WithinLimit</v>
      </c>
    </row>
    <row r="8" spans="1:13" x14ac:dyDescent="0.2">
      <c r="A8">
        <v>4</v>
      </c>
      <c r="B8">
        <v>11</v>
      </c>
      <c r="C8">
        <v>3</v>
      </c>
      <c r="D8">
        <v>4</v>
      </c>
      <c r="E8">
        <v>1</v>
      </c>
      <c r="F8">
        <v>14289.6</v>
      </c>
      <c r="G8">
        <v>1242.5739130434783</v>
      </c>
      <c r="H8" t="str">
        <f>_xlfn.XLOOKUP(FactCarInventory[[#This Row],[DriverKey]],DriverDim[DriverKey],DriverDim[Driver])</f>
        <v>Torrens</v>
      </c>
      <c r="I8" t="str">
        <f>_xlfn.XLOOKUP(FactCarInventory[[#This Row],[MakeModelKey]],DimMakeModel[MakeModelKey],DimMakeModel[Make])</f>
        <v>GM</v>
      </c>
      <c r="J8" t="str">
        <f>_xlfn.XLOOKUP(FactCarInventory[[#This Row],[MakeModelKey]],DimMakeModel[MakeModelKey],DimMakeModel[Model])</f>
        <v>CMR</v>
      </c>
      <c r="K8">
        <f>_xlfn.XLOOKUP(FactCarInventory[[#This Row],[WaranteeKey]],DimWarranty[WaranteeKey],DimWarranty[Warantee Miles])</f>
        <v>100000</v>
      </c>
      <c r="L8" t="str">
        <f>_xlfn.XLOOKUP(FactCarInventory[[#This Row],[WaranteeKey]],DimWarranty[WaranteeKey],DimWarranty[Covered?])</f>
        <v>Y</v>
      </c>
      <c r="M8" t="str">
        <f>IF(FactCarInventory[[#This Row],[Miles]]&gt;FactCarInventory[[#This Row],[WarrantyMiles]],"Exceeded","WithinLimit")</f>
        <v>WithinLimit</v>
      </c>
    </row>
    <row r="9" spans="1:13" x14ac:dyDescent="0.2">
      <c r="A9">
        <v>17</v>
      </c>
      <c r="B9">
        <v>14</v>
      </c>
      <c r="C9">
        <v>5</v>
      </c>
      <c r="D9">
        <v>4</v>
      </c>
      <c r="E9">
        <v>1</v>
      </c>
      <c r="F9">
        <v>29102.3</v>
      </c>
      <c r="G9">
        <v>2007.0551724137931</v>
      </c>
      <c r="H9" t="str">
        <f>_xlfn.XLOOKUP(FactCarInventory[[#This Row],[DriverKey]],DriverDim[DriverKey],DriverDim[Driver])</f>
        <v>Torrens</v>
      </c>
      <c r="I9" t="str">
        <f>_xlfn.XLOOKUP(FactCarInventory[[#This Row],[MakeModelKey]],DimMakeModel[MakeModelKey],DimMakeModel[Make])</f>
        <v>HY</v>
      </c>
      <c r="J9" t="str">
        <f>_xlfn.XLOOKUP(FactCarInventory[[#This Row],[MakeModelKey]],DimMakeModel[MakeModelKey],DimMakeModel[Model])</f>
        <v>ELA</v>
      </c>
      <c r="K9">
        <f>_xlfn.XLOOKUP(FactCarInventory[[#This Row],[WaranteeKey]],DimWarranty[WaranteeKey],DimWarranty[Warantee Miles])</f>
        <v>100000</v>
      </c>
      <c r="L9" t="str">
        <f>_xlfn.XLOOKUP(FactCarInventory[[#This Row],[WaranteeKey]],DimWarranty[WaranteeKey],DimWarranty[Covered?])</f>
        <v>Y</v>
      </c>
      <c r="M9" t="str">
        <f>IF(FactCarInventory[[#This Row],[Miles]]&gt;FactCarInventory[[#This Row],[WarrantyMiles]],"Exceeded","WithinLimit")</f>
        <v>WithinLimit</v>
      </c>
    </row>
    <row r="10" spans="1:13" x14ac:dyDescent="0.2">
      <c r="A10">
        <v>6</v>
      </c>
      <c r="B10">
        <v>13</v>
      </c>
      <c r="C10">
        <v>3</v>
      </c>
      <c r="D10">
        <v>6</v>
      </c>
      <c r="E10">
        <v>1</v>
      </c>
      <c r="F10">
        <v>19421.099999999999</v>
      </c>
      <c r="G10">
        <v>1438.6</v>
      </c>
      <c r="H10" t="str">
        <f>_xlfn.XLOOKUP(FactCarInventory[[#This Row],[DriverKey]],DriverDim[DriverKey],DriverDim[Driver])</f>
        <v>Bard</v>
      </c>
      <c r="I10" t="str">
        <f>_xlfn.XLOOKUP(FactCarInventory[[#This Row],[MakeModelKey]],DimMakeModel[MakeModelKey],DimMakeModel[Make])</f>
        <v>GM</v>
      </c>
      <c r="J10" t="str">
        <f>_xlfn.XLOOKUP(FactCarInventory[[#This Row],[MakeModelKey]],DimMakeModel[MakeModelKey],DimMakeModel[Model])</f>
        <v>CMR</v>
      </c>
      <c r="K10">
        <f>_xlfn.XLOOKUP(FactCarInventory[[#This Row],[WaranteeKey]],DimWarranty[WaranteeKey],DimWarranty[Warantee Miles])</f>
        <v>100000</v>
      </c>
      <c r="L10" t="str">
        <f>_xlfn.XLOOKUP(FactCarInventory[[#This Row],[WaranteeKey]],DimWarranty[WaranteeKey],DimWarranty[Covered?])</f>
        <v>Y</v>
      </c>
      <c r="M10" t="str">
        <f>IF(FactCarInventory[[#This Row],[Miles]]&gt;FactCarInventory[[#This Row],[WarrantyMiles]],"Exceeded","WithinLimit")</f>
        <v>WithinLimit</v>
      </c>
    </row>
    <row r="11" spans="1:13" x14ac:dyDescent="0.2">
      <c r="A11">
        <v>5</v>
      </c>
      <c r="B11">
        <v>13</v>
      </c>
      <c r="C11">
        <v>2</v>
      </c>
      <c r="D11">
        <v>5</v>
      </c>
      <c r="E11">
        <v>2</v>
      </c>
      <c r="F11">
        <v>19341.7</v>
      </c>
      <c r="G11">
        <v>1432.7185185185185</v>
      </c>
      <c r="H11" t="str">
        <f>_xlfn.XLOOKUP(FactCarInventory[[#This Row],[DriverKey]],DriverDim[DriverKey],DriverDim[Driver])</f>
        <v>Yousef</v>
      </c>
      <c r="I11" t="str">
        <f>_xlfn.XLOOKUP(FactCarInventory[[#This Row],[MakeModelKey]],DimMakeModel[MakeModelKey],DimMakeModel[Make])</f>
        <v>FD</v>
      </c>
      <c r="J11" t="str">
        <f>_xlfn.XLOOKUP(FactCarInventory[[#This Row],[MakeModelKey]],DimMakeModel[MakeModelKey],DimMakeModel[Model])</f>
        <v>FCS</v>
      </c>
      <c r="K11">
        <f>_xlfn.XLOOKUP(FactCarInventory[[#This Row],[WaranteeKey]],DimWarranty[WaranteeKey],DimWarranty[Warantee Miles])</f>
        <v>75000</v>
      </c>
      <c r="L11" t="str">
        <f>_xlfn.XLOOKUP(FactCarInventory[[#This Row],[WaranteeKey]],DimWarranty[WaranteeKey],DimWarranty[Covered?])</f>
        <v>Y</v>
      </c>
      <c r="M11" t="str">
        <f>IF(FactCarInventory[[#This Row],[Miles]]&gt;FactCarInventory[[#This Row],[WarrantyMiles]],"Exceeded","WithinLimit")</f>
        <v>WithinLimit</v>
      </c>
    </row>
    <row r="12" spans="1:13" x14ac:dyDescent="0.2">
      <c r="A12">
        <v>8</v>
      </c>
      <c r="B12">
        <v>11</v>
      </c>
      <c r="C12">
        <v>4</v>
      </c>
      <c r="D12">
        <v>7</v>
      </c>
      <c r="E12">
        <v>1</v>
      </c>
      <c r="F12">
        <v>17556.3</v>
      </c>
      <c r="G12">
        <v>1526.6347826086956</v>
      </c>
      <c r="H12" t="str">
        <f>_xlfn.XLOOKUP(FactCarInventory[[#This Row],[DriverKey]],DriverDim[DriverKey],DriverDim[Driver])</f>
        <v>Praulty</v>
      </c>
      <c r="I12" t="str">
        <f>_xlfn.XLOOKUP(FactCarInventory[[#This Row],[MakeModelKey]],DimMakeModel[MakeModelKey],DimMakeModel[Make])</f>
        <v>TY</v>
      </c>
      <c r="J12" t="str">
        <f>_xlfn.XLOOKUP(FactCarInventory[[#This Row],[MakeModelKey]],DimMakeModel[MakeModelKey],DimMakeModel[Model])</f>
        <v>COR</v>
      </c>
      <c r="K12">
        <f>_xlfn.XLOOKUP(FactCarInventory[[#This Row],[WaranteeKey]],DimWarranty[WaranteeKey],DimWarranty[Warantee Miles])</f>
        <v>100000</v>
      </c>
      <c r="L12" t="str">
        <f>_xlfn.XLOOKUP(FactCarInventory[[#This Row],[WaranteeKey]],DimWarranty[WaranteeKey],DimWarranty[Covered?])</f>
        <v>Y</v>
      </c>
      <c r="M12" t="str">
        <f>IF(FactCarInventory[[#This Row],[Miles]]&gt;FactCarInventory[[#This Row],[WarrantyMiles]],"Exceeded","WithinLimit")</f>
        <v>WithinLimit</v>
      </c>
    </row>
    <row r="13" spans="1:13" x14ac:dyDescent="0.2">
      <c r="A13">
        <v>9</v>
      </c>
      <c r="B13">
        <v>12</v>
      </c>
      <c r="C13">
        <v>5</v>
      </c>
      <c r="D13">
        <v>7</v>
      </c>
      <c r="E13">
        <v>1</v>
      </c>
      <c r="F13">
        <v>20223.900000000001</v>
      </c>
      <c r="G13">
        <v>1617.912</v>
      </c>
      <c r="H13" t="str">
        <f>_xlfn.XLOOKUP(FactCarInventory[[#This Row],[DriverKey]],DriverDim[DriverKey],DriverDim[Driver])</f>
        <v>Praulty</v>
      </c>
      <c r="I13" t="str">
        <f>_xlfn.XLOOKUP(FactCarInventory[[#This Row],[MakeModelKey]],DimMakeModel[MakeModelKey],DimMakeModel[Make])</f>
        <v>HY</v>
      </c>
      <c r="J13" t="str">
        <f>_xlfn.XLOOKUP(FactCarInventory[[#This Row],[MakeModelKey]],DimMakeModel[MakeModelKey],DimMakeModel[Model])</f>
        <v>ELA</v>
      </c>
      <c r="K13">
        <f>_xlfn.XLOOKUP(FactCarInventory[[#This Row],[WaranteeKey]],DimWarranty[WaranteeKey],DimWarranty[Warantee Miles])</f>
        <v>100000</v>
      </c>
      <c r="L13" t="str">
        <f>_xlfn.XLOOKUP(FactCarInventory[[#This Row],[WaranteeKey]],DimWarranty[WaranteeKey],DimWarranty[Covered?])</f>
        <v>Y</v>
      </c>
      <c r="M13" t="str">
        <f>IF(FactCarInventory[[#This Row],[Miles]]&gt;FactCarInventory[[#This Row],[WarrantyMiles]],"Exceeded","WithinLimit")</f>
        <v>WithinLimit</v>
      </c>
    </row>
    <row r="14" spans="1:13" x14ac:dyDescent="0.2">
      <c r="A14">
        <v>12</v>
      </c>
      <c r="B14">
        <v>16</v>
      </c>
      <c r="C14">
        <v>3</v>
      </c>
      <c r="D14">
        <v>8</v>
      </c>
      <c r="E14">
        <v>1</v>
      </c>
      <c r="F14">
        <v>28464.799999999999</v>
      </c>
      <c r="G14">
        <v>1725.1393939393938</v>
      </c>
      <c r="H14" t="str">
        <f>_xlfn.XLOOKUP(FactCarInventory[[#This Row],[DriverKey]],DriverDim[DriverKey],DriverDim[Driver])</f>
        <v>Santos</v>
      </c>
      <c r="I14" t="str">
        <f>_xlfn.XLOOKUP(FactCarInventory[[#This Row],[MakeModelKey]],DimMakeModel[MakeModelKey],DimMakeModel[Make])</f>
        <v>GM</v>
      </c>
      <c r="J14" t="str">
        <f>_xlfn.XLOOKUP(FactCarInventory[[#This Row],[MakeModelKey]],DimMakeModel[MakeModelKey],DimMakeModel[Model])</f>
        <v>CMR</v>
      </c>
      <c r="K14">
        <f>_xlfn.XLOOKUP(FactCarInventory[[#This Row],[WaranteeKey]],DimWarranty[WaranteeKey],DimWarranty[Warantee Miles])</f>
        <v>100000</v>
      </c>
      <c r="L14" t="str">
        <f>_xlfn.XLOOKUP(FactCarInventory[[#This Row],[WaranteeKey]],DimWarranty[WaranteeKey],DimWarranty[Covered?])</f>
        <v>Y</v>
      </c>
      <c r="M14" t="str">
        <f>IF(FactCarInventory[[#This Row],[Miles]]&gt;FactCarInventory[[#This Row],[WarrantyMiles]],"Exceeded","WithinLimit")</f>
        <v>WithinLimit</v>
      </c>
    </row>
    <row r="15" spans="1:13" x14ac:dyDescent="0.2">
      <c r="A15">
        <v>13</v>
      </c>
      <c r="B15">
        <v>12</v>
      </c>
      <c r="C15">
        <v>5</v>
      </c>
      <c r="D15">
        <v>9</v>
      </c>
      <c r="E15">
        <v>1</v>
      </c>
      <c r="F15">
        <v>22188.5</v>
      </c>
      <c r="G15">
        <v>1775.08</v>
      </c>
      <c r="H15" t="str">
        <f>_xlfn.XLOOKUP(FactCarInventory[[#This Row],[DriverKey]],DriverDim[DriverKey],DriverDim[Driver])</f>
        <v>Ewenty</v>
      </c>
      <c r="I15" t="str">
        <f>_xlfn.XLOOKUP(FactCarInventory[[#This Row],[MakeModelKey]],DimMakeModel[MakeModelKey],DimMakeModel[Make])</f>
        <v>HY</v>
      </c>
      <c r="J15" t="str">
        <f>_xlfn.XLOOKUP(FactCarInventory[[#This Row],[MakeModelKey]],DimMakeModel[MakeModelKey],DimMakeModel[Model])</f>
        <v>ELA</v>
      </c>
      <c r="K15">
        <f>_xlfn.XLOOKUP(FactCarInventory[[#This Row],[WaranteeKey]],DimWarranty[WaranteeKey],DimWarranty[Warantee Miles])</f>
        <v>100000</v>
      </c>
      <c r="L15" t="str">
        <f>_xlfn.XLOOKUP(FactCarInventory[[#This Row],[WaranteeKey]],DimWarranty[WaranteeKey],DimWarranty[Covered?])</f>
        <v>Y</v>
      </c>
      <c r="M15" t="str">
        <f>IF(FactCarInventory[[#This Row],[Miles]]&gt;FactCarInventory[[#This Row],[WarrantyMiles]],"Exceeded","WithinLimit")</f>
        <v>WithinLimit</v>
      </c>
    </row>
    <row r="16" spans="1:13" x14ac:dyDescent="0.2">
      <c r="A16">
        <v>14</v>
      </c>
      <c r="B16">
        <v>12</v>
      </c>
      <c r="C16">
        <v>2</v>
      </c>
      <c r="D16">
        <v>10</v>
      </c>
      <c r="E16">
        <v>2</v>
      </c>
      <c r="F16">
        <v>22521.599999999999</v>
      </c>
      <c r="G16">
        <v>1801.7279999999998</v>
      </c>
      <c r="H16" t="str">
        <f>_xlfn.XLOOKUP(FactCarInventory[[#This Row],[DriverKey]],DriverDim[DriverKey],DriverDim[Driver])</f>
        <v>Vizzini</v>
      </c>
      <c r="I16" t="str">
        <f>_xlfn.XLOOKUP(FactCarInventory[[#This Row],[MakeModelKey]],DimMakeModel[MakeModelKey],DimMakeModel[Make])</f>
        <v>FD</v>
      </c>
      <c r="J16" t="str">
        <f>_xlfn.XLOOKUP(FactCarInventory[[#This Row],[MakeModelKey]],DimMakeModel[MakeModelKey],DimMakeModel[Model])</f>
        <v>FCS</v>
      </c>
      <c r="K16">
        <f>_xlfn.XLOOKUP(FactCarInventory[[#This Row],[WaranteeKey]],DimWarranty[WaranteeKey],DimWarranty[Warantee Miles])</f>
        <v>75000</v>
      </c>
      <c r="L16" t="str">
        <f>_xlfn.XLOOKUP(FactCarInventory[[#This Row],[WaranteeKey]],DimWarranty[WaranteeKey],DimWarranty[Covered?])</f>
        <v>Y</v>
      </c>
      <c r="M16" t="str">
        <f>IF(FactCarInventory[[#This Row],[Miles]]&gt;FactCarInventory[[#This Row],[WarrantyMiles]],"Exceeded","WithinLimit")</f>
        <v>WithinLimit</v>
      </c>
    </row>
    <row r="17" spans="1:13" x14ac:dyDescent="0.2">
      <c r="A17">
        <v>16</v>
      </c>
      <c r="B17">
        <v>14</v>
      </c>
      <c r="C17">
        <v>6</v>
      </c>
      <c r="D17">
        <v>10</v>
      </c>
      <c r="E17">
        <v>2</v>
      </c>
      <c r="F17">
        <v>27394.2</v>
      </c>
      <c r="G17">
        <v>1889.2551724137932</v>
      </c>
      <c r="H17" t="str">
        <f>_xlfn.XLOOKUP(FactCarInventory[[#This Row],[DriverKey]],DriverDim[DriverKey],DriverDim[Driver])</f>
        <v>Vizzini</v>
      </c>
      <c r="I17" t="str">
        <f>_xlfn.XLOOKUP(FactCarInventory[[#This Row],[MakeModelKey]],DimMakeModel[MakeModelKey],DimMakeModel[Make])</f>
        <v>CR</v>
      </c>
      <c r="J17" t="str">
        <f>_xlfn.XLOOKUP(FactCarInventory[[#This Row],[MakeModelKey]],DimMakeModel[MakeModelKey],DimMakeModel[Model])</f>
        <v>PTC</v>
      </c>
      <c r="K17">
        <f>_xlfn.XLOOKUP(FactCarInventory[[#This Row],[WaranteeKey]],DimWarranty[WaranteeKey],DimWarranty[Warantee Miles])</f>
        <v>75000</v>
      </c>
      <c r="L17" t="str">
        <f>_xlfn.XLOOKUP(FactCarInventory[[#This Row],[WaranteeKey]],DimWarranty[WaranteeKey],DimWarranty[Covered?])</f>
        <v>Y</v>
      </c>
      <c r="M17" t="str">
        <f>IF(FactCarInventory[[#This Row],[Miles]]&gt;FactCarInventory[[#This Row],[WarrantyMiles]],"Exceeded","WithinLimit")</f>
        <v>WithinLimit</v>
      </c>
    </row>
    <row r="18" spans="1:13" x14ac:dyDescent="0.2">
      <c r="A18">
        <v>15</v>
      </c>
      <c r="B18">
        <v>13</v>
      </c>
      <c r="C18">
        <v>1</v>
      </c>
      <c r="D18">
        <v>11</v>
      </c>
      <c r="E18">
        <v>2</v>
      </c>
      <c r="F18">
        <v>24513.200000000001</v>
      </c>
      <c r="G18">
        <v>1815.7925925925927</v>
      </c>
      <c r="H18" t="str">
        <f>_xlfn.XLOOKUP(FactCarInventory[[#This Row],[DriverKey]],DriverDim[DriverKey],DriverDim[Driver])</f>
        <v>Hulinski</v>
      </c>
      <c r="I18" t="str">
        <f>_xlfn.XLOOKUP(FactCarInventory[[#This Row],[MakeModelKey]],DimMakeModel[MakeModelKey],DimMakeModel[Make])</f>
        <v>HO</v>
      </c>
      <c r="J18" t="str">
        <f>_xlfn.XLOOKUP(FactCarInventory[[#This Row],[MakeModelKey]],DimMakeModel[MakeModelKey],DimMakeModel[Model])</f>
        <v>ODY</v>
      </c>
      <c r="K18">
        <f>_xlfn.XLOOKUP(FactCarInventory[[#This Row],[WaranteeKey]],DimWarranty[WaranteeKey],DimWarranty[Warantee Miles])</f>
        <v>75000</v>
      </c>
      <c r="L18" t="str">
        <f>_xlfn.XLOOKUP(FactCarInventory[[#This Row],[WaranteeKey]],DimWarranty[WaranteeKey],DimWarranty[Covered?])</f>
        <v>Y</v>
      </c>
      <c r="M18" t="str">
        <f>IF(FactCarInventory[[#This Row],[Miles]]&gt;FactCarInventory[[#This Row],[WarrantyMiles]],"Exceeded","WithinLimit")</f>
        <v>WithinLimit</v>
      </c>
    </row>
    <row r="19" spans="1:13" x14ac:dyDescent="0.2">
      <c r="A19">
        <v>18</v>
      </c>
      <c r="B19">
        <v>15</v>
      </c>
      <c r="C19">
        <v>3</v>
      </c>
      <c r="D19">
        <v>11</v>
      </c>
      <c r="E19">
        <v>1</v>
      </c>
      <c r="F19">
        <v>31144.400000000001</v>
      </c>
      <c r="G19">
        <v>2009.3161290322582</v>
      </c>
      <c r="H19" t="str">
        <f>_xlfn.XLOOKUP(FactCarInventory[[#This Row],[DriverKey]],DriverDim[DriverKey],DriverDim[Driver])</f>
        <v>Hulinski</v>
      </c>
      <c r="I19" t="str">
        <f>_xlfn.XLOOKUP(FactCarInventory[[#This Row],[MakeModelKey]],DimMakeModel[MakeModelKey],DimMakeModel[Make])</f>
        <v>GM</v>
      </c>
      <c r="J19" t="str">
        <f>_xlfn.XLOOKUP(FactCarInventory[[#This Row],[MakeModelKey]],DimMakeModel[MakeModelKey],DimMakeModel[Model])</f>
        <v>CMR</v>
      </c>
      <c r="K19">
        <f>_xlfn.XLOOKUP(FactCarInventory[[#This Row],[WaranteeKey]],DimWarranty[WaranteeKey],DimWarranty[Warantee Miles])</f>
        <v>100000</v>
      </c>
      <c r="L19" t="str">
        <f>_xlfn.XLOOKUP(FactCarInventory[[#This Row],[WaranteeKey]],DimWarranty[WaranteeKey],DimWarranty[Covered?])</f>
        <v>Y</v>
      </c>
      <c r="M19" t="str">
        <f>IF(FactCarInventory[[#This Row],[Miles]]&gt;FactCarInventory[[#This Row],[WarrantyMiles]],"Exceeded","WithinLimit")</f>
        <v>WithinLimit</v>
      </c>
    </row>
    <row r="20" spans="1:13" x14ac:dyDescent="0.2">
      <c r="A20">
        <v>19</v>
      </c>
      <c r="B20">
        <v>19</v>
      </c>
      <c r="C20">
        <v>2</v>
      </c>
      <c r="D20">
        <v>12</v>
      </c>
      <c r="E20">
        <v>3</v>
      </c>
      <c r="F20">
        <v>40326.800000000003</v>
      </c>
      <c r="G20">
        <v>2068.041025641026</v>
      </c>
      <c r="H20" t="str">
        <f>_xlfn.XLOOKUP(FactCarInventory[[#This Row],[DriverKey]],DriverDim[DriverKey],DriverDim[Driver])</f>
        <v>Smith</v>
      </c>
      <c r="I20" t="str">
        <f>_xlfn.XLOOKUP(FactCarInventory[[#This Row],[MakeModelKey]],DimMakeModel[MakeModelKey],DimMakeModel[Make])</f>
        <v>FD</v>
      </c>
      <c r="J20" t="str">
        <f>_xlfn.XLOOKUP(FactCarInventory[[#This Row],[MakeModelKey]],DimMakeModel[MakeModelKey],DimMakeModel[Model])</f>
        <v>FCS</v>
      </c>
      <c r="K20">
        <f>_xlfn.XLOOKUP(FactCarInventory[[#This Row],[WaranteeKey]],DimWarranty[WaranteeKey],DimWarranty[Warantee Miles])</f>
        <v>50000</v>
      </c>
      <c r="L20" t="str">
        <f>_xlfn.XLOOKUP(FactCarInventory[[#This Row],[WaranteeKey]],DimWarranty[WaranteeKey],DimWarranty[Covered?])</f>
        <v>Y</v>
      </c>
      <c r="M20" t="str">
        <f>IF(FactCarInventory[[#This Row],[Miles]]&gt;FactCarInventory[[#This Row],[WarrantyMiles]],"Exceeded","WithinLimit")</f>
        <v>WithinLimit</v>
      </c>
    </row>
    <row r="21" spans="1:13" x14ac:dyDescent="0.2">
      <c r="A21">
        <v>20</v>
      </c>
      <c r="B21">
        <v>17</v>
      </c>
      <c r="C21">
        <v>2</v>
      </c>
      <c r="D21">
        <v>12</v>
      </c>
      <c r="E21">
        <v>3</v>
      </c>
      <c r="F21">
        <v>36438.5</v>
      </c>
      <c r="G21">
        <v>2082.1999999999998</v>
      </c>
      <c r="H21" t="str">
        <f>_xlfn.XLOOKUP(FactCarInventory[[#This Row],[DriverKey]],DriverDim[DriverKey],DriverDim[Driver])</f>
        <v>Smith</v>
      </c>
      <c r="I21" t="str">
        <f>_xlfn.XLOOKUP(FactCarInventory[[#This Row],[MakeModelKey]],DimMakeModel[MakeModelKey],DimMakeModel[Make])</f>
        <v>FD</v>
      </c>
      <c r="J21" t="str">
        <f>_xlfn.XLOOKUP(FactCarInventory[[#This Row],[MakeModelKey]],DimMakeModel[MakeModelKey],DimMakeModel[Model])</f>
        <v>FCS</v>
      </c>
      <c r="K21">
        <f>_xlfn.XLOOKUP(FactCarInventory[[#This Row],[WaranteeKey]],DimWarranty[WaranteeKey],DimWarranty[Warantee Miles])</f>
        <v>50000</v>
      </c>
      <c r="L21" t="str">
        <f>_xlfn.XLOOKUP(FactCarInventory[[#This Row],[WaranteeKey]],DimWarranty[WaranteeKey],DimWarranty[Covered?])</f>
        <v>Y</v>
      </c>
      <c r="M21" t="str">
        <f>IF(FactCarInventory[[#This Row],[Miles]]&gt;FactCarInventory[[#This Row],[WarrantyMiles]],"Exceeded","WithinLimit")</f>
        <v>WithinLimit</v>
      </c>
    </row>
    <row r="22" spans="1:13" x14ac:dyDescent="0.2">
      <c r="A22">
        <v>21</v>
      </c>
      <c r="B22">
        <v>14</v>
      </c>
      <c r="C22">
        <v>1</v>
      </c>
      <c r="D22">
        <v>13</v>
      </c>
      <c r="E22">
        <v>2</v>
      </c>
      <c r="F22">
        <v>30555.3</v>
      </c>
      <c r="G22">
        <v>2107.2620689655173</v>
      </c>
      <c r="H22" t="str">
        <f>_xlfn.XLOOKUP(FactCarInventory[[#This Row],[DriverKey]],DriverDim[DriverKey],DriverDim[Driver])</f>
        <v>Lyon</v>
      </c>
      <c r="I22" t="str">
        <f>_xlfn.XLOOKUP(FactCarInventory[[#This Row],[MakeModelKey]],DimMakeModel[MakeModelKey],DimMakeModel[Make])</f>
        <v>HO</v>
      </c>
      <c r="J22" t="str">
        <f>_xlfn.XLOOKUP(FactCarInventory[[#This Row],[MakeModelKey]],DimMakeModel[MakeModelKey],DimMakeModel[Model])</f>
        <v>ODY</v>
      </c>
      <c r="K22">
        <f>_xlfn.XLOOKUP(FactCarInventory[[#This Row],[WaranteeKey]],DimWarranty[WaranteeKey],DimWarranty[Warantee Miles])</f>
        <v>75000</v>
      </c>
      <c r="L22" t="str">
        <f>_xlfn.XLOOKUP(FactCarInventory[[#This Row],[WaranteeKey]],DimWarranty[WaranteeKey],DimWarranty[Covered?])</f>
        <v>Y</v>
      </c>
      <c r="M22" t="str">
        <f>IF(FactCarInventory[[#This Row],[Miles]]&gt;FactCarInventory[[#This Row],[WarrantyMiles]],"Exceeded","WithinLimit")</f>
        <v>WithinLimit</v>
      </c>
    </row>
    <row r="23" spans="1:13" x14ac:dyDescent="0.2">
      <c r="A23">
        <v>22</v>
      </c>
      <c r="B23">
        <v>16</v>
      </c>
      <c r="C23">
        <v>2</v>
      </c>
      <c r="D23">
        <v>14</v>
      </c>
      <c r="E23">
        <v>2</v>
      </c>
      <c r="F23">
        <v>35137</v>
      </c>
      <c r="G23">
        <v>2129.5151515151515</v>
      </c>
      <c r="H23" t="str">
        <f>_xlfn.XLOOKUP(FactCarInventory[[#This Row],[DriverKey]],DriverDim[DriverKey],DriverDim[Driver])</f>
        <v>Howard</v>
      </c>
      <c r="I23" t="str">
        <f>_xlfn.XLOOKUP(FactCarInventory[[#This Row],[MakeModelKey]],DimMakeModel[MakeModelKey],DimMakeModel[Make])</f>
        <v>FD</v>
      </c>
      <c r="J23" t="str">
        <f>_xlfn.XLOOKUP(FactCarInventory[[#This Row],[MakeModelKey]],DimMakeModel[MakeModelKey],DimMakeModel[Model])</f>
        <v>FCS</v>
      </c>
      <c r="K23">
        <f>_xlfn.XLOOKUP(FactCarInventory[[#This Row],[WaranteeKey]],DimWarranty[WaranteeKey],DimWarranty[Warantee Miles])</f>
        <v>75000</v>
      </c>
      <c r="L23" t="str">
        <f>_xlfn.XLOOKUP(FactCarInventory[[#This Row],[WaranteeKey]],DimWarranty[WaranteeKey],DimWarranty[Covered?])</f>
        <v>Y</v>
      </c>
      <c r="M23" t="str">
        <f>IF(FactCarInventory[[#This Row],[Miles]]&gt;FactCarInventory[[#This Row],[WarrantyMiles]],"Exceeded","WithinLimit")</f>
        <v>WithinLimit</v>
      </c>
    </row>
    <row r="24" spans="1:13" x14ac:dyDescent="0.2">
      <c r="A24">
        <v>23</v>
      </c>
      <c r="B24">
        <v>17</v>
      </c>
      <c r="C24">
        <v>2</v>
      </c>
      <c r="D24">
        <v>15</v>
      </c>
      <c r="E24">
        <v>3</v>
      </c>
      <c r="F24">
        <v>37558.800000000003</v>
      </c>
      <c r="G24">
        <v>2146.2171428571432</v>
      </c>
      <c r="H24" t="str">
        <f>_xlfn.XLOOKUP(FactCarInventory[[#This Row],[DriverKey]],DriverDim[DriverKey],DriverDim[Driver])</f>
        <v>Jones</v>
      </c>
      <c r="I24" t="str">
        <f>_xlfn.XLOOKUP(FactCarInventory[[#This Row],[MakeModelKey]],DimMakeModel[MakeModelKey],DimMakeModel[Make])</f>
        <v>FD</v>
      </c>
      <c r="J24" t="str">
        <f>_xlfn.XLOOKUP(FactCarInventory[[#This Row],[MakeModelKey]],DimMakeModel[MakeModelKey],DimMakeModel[Model])</f>
        <v>FCS</v>
      </c>
      <c r="K24">
        <f>_xlfn.XLOOKUP(FactCarInventory[[#This Row],[WaranteeKey]],DimWarranty[WaranteeKey],DimWarranty[Warantee Miles])</f>
        <v>50000</v>
      </c>
      <c r="L24" t="str">
        <f>_xlfn.XLOOKUP(FactCarInventory[[#This Row],[WaranteeKey]],DimWarranty[WaranteeKey],DimWarranty[Covered?])</f>
        <v>Y</v>
      </c>
      <c r="M24" t="str">
        <f>IF(FactCarInventory[[#This Row],[Miles]]&gt;FactCarInventory[[#This Row],[WarrantyMiles]],"Exceeded","WithinLimit")</f>
        <v>WithinLimit</v>
      </c>
    </row>
    <row r="25" spans="1:13" x14ac:dyDescent="0.2">
      <c r="A25">
        <v>24</v>
      </c>
      <c r="B25">
        <v>15</v>
      </c>
      <c r="C25">
        <v>1</v>
      </c>
      <c r="D25">
        <v>16</v>
      </c>
      <c r="E25">
        <v>2</v>
      </c>
      <c r="F25">
        <v>33477.199999999997</v>
      </c>
      <c r="G25">
        <v>2159.8193548387094</v>
      </c>
      <c r="H25" t="str">
        <f>_xlfn.XLOOKUP(FactCarInventory[[#This Row],[DriverKey]],DriverDim[DriverKey],DriverDim[Driver])</f>
        <v>Swartz</v>
      </c>
      <c r="I25" t="str">
        <f>_xlfn.XLOOKUP(FactCarInventory[[#This Row],[MakeModelKey]],DimMakeModel[MakeModelKey],DimMakeModel[Make])</f>
        <v>HO</v>
      </c>
      <c r="J25" t="str">
        <f>_xlfn.XLOOKUP(FactCarInventory[[#This Row],[MakeModelKey]],DimMakeModel[MakeModelKey],DimMakeModel[Model])</f>
        <v>ODY</v>
      </c>
      <c r="K25">
        <f>_xlfn.XLOOKUP(FactCarInventory[[#This Row],[WaranteeKey]],DimWarranty[WaranteeKey],DimWarranty[Warantee Miles])</f>
        <v>75000</v>
      </c>
      <c r="L25" t="str">
        <f>_xlfn.XLOOKUP(FactCarInventory[[#This Row],[WaranteeKey]],DimWarranty[WaranteeKey],DimWarranty[Covered?])</f>
        <v>Y</v>
      </c>
      <c r="M25" t="str">
        <f>IF(FactCarInventory[[#This Row],[Miles]]&gt;FactCarInventory[[#This Row],[WarrantyMiles]],"Exceeded","WithinLimit")</f>
        <v>WithinLimit</v>
      </c>
    </row>
    <row r="26" spans="1:13" x14ac:dyDescent="0.2">
      <c r="A26">
        <v>25</v>
      </c>
      <c r="B26">
        <v>13</v>
      </c>
      <c r="C26">
        <v>4</v>
      </c>
      <c r="D26">
        <v>8</v>
      </c>
      <c r="E26">
        <v>1</v>
      </c>
      <c r="F26">
        <v>29601.9</v>
      </c>
      <c r="G26">
        <v>2192.7333333333336</v>
      </c>
      <c r="H26" t="str">
        <f>_xlfn.XLOOKUP(FactCarInventory[[#This Row],[DriverKey]],DriverDim[DriverKey],DriverDim[Driver])</f>
        <v>Santos</v>
      </c>
      <c r="I26" t="str">
        <f>_xlfn.XLOOKUP(FactCarInventory[[#This Row],[MakeModelKey]],DimMakeModel[MakeModelKey],DimMakeModel[Make])</f>
        <v>TY</v>
      </c>
      <c r="J26" t="str">
        <f>_xlfn.XLOOKUP(FactCarInventory[[#This Row],[MakeModelKey]],DimMakeModel[MakeModelKey],DimMakeModel[Model])</f>
        <v>COR</v>
      </c>
      <c r="K26">
        <f>_xlfn.XLOOKUP(FactCarInventory[[#This Row],[WaranteeKey]],DimWarranty[WaranteeKey],DimWarranty[Warantee Miles])</f>
        <v>100000</v>
      </c>
      <c r="L26" t="str">
        <f>_xlfn.XLOOKUP(FactCarInventory[[#This Row],[WaranteeKey]],DimWarranty[WaranteeKey],DimWarranty[Covered?])</f>
        <v>Y</v>
      </c>
      <c r="M26" t="str">
        <f>IF(FactCarInventory[[#This Row],[Miles]]&gt;FactCarInventory[[#This Row],[WarrantyMiles]],"Exceeded","WithinLimit")</f>
        <v>WithinLimit</v>
      </c>
    </row>
    <row r="27" spans="1:13" x14ac:dyDescent="0.2">
      <c r="A27">
        <v>26</v>
      </c>
      <c r="B27">
        <v>12</v>
      </c>
      <c r="C27">
        <v>2</v>
      </c>
      <c r="D27">
        <v>7</v>
      </c>
      <c r="E27">
        <v>2</v>
      </c>
      <c r="F27">
        <v>27534.799999999999</v>
      </c>
      <c r="G27">
        <v>2202.7840000000001</v>
      </c>
      <c r="H27" t="str">
        <f>_xlfn.XLOOKUP(FactCarInventory[[#This Row],[DriverKey]],DriverDim[DriverKey],DriverDim[Driver])</f>
        <v>Praulty</v>
      </c>
      <c r="I27" t="str">
        <f>_xlfn.XLOOKUP(FactCarInventory[[#This Row],[MakeModelKey]],DimMakeModel[MakeModelKey],DimMakeModel[Make])</f>
        <v>FD</v>
      </c>
      <c r="J27" t="str">
        <f>_xlfn.XLOOKUP(FactCarInventory[[#This Row],[MakeModelKey]],DimMakeModel[MakeModelKey],DimMakeModel[Model])</f>
        <v>FCS</v>
      </c>
      <c r="K27">
        <f>_xlfn.XLOOKUP(FactCarInventory[[#This Row],[WaranteeKey]],DimWarranty[WaranteeKey],DimWarranty[Warantee Miles])</f>
        <v>75000</v>
      </c>
      <c r="L27" t="str">
        <f>_xlfn.XLOOKUP(FactCarInventory[[#This Row],[WaranteeKey]],DimWarranty[WaranteeKey],DimWarranty[Covered?])</f>
        <v>Y</v>
      </c>
      <c r="M27" t="str">
        <f>IF(FactCarInventory[[#This Row],[Miles]]&gt;FactCarInventory[[#This Row],[WarrantyMiles]],"Exceeded","WithinLimit")</f>
        <v>WithinLimit</v>
      </c>
    </row>
    <row r="28" spans="1:13" x14ac:dyDescent="0.2">
      <c r="A28">
        <v>27</v>
      </c>
      <c r="B28">
        <v>12</v>
      </c>
      <c r="C28">
        <v>2</v>
      </c>
      <c r="D28">
        <v>12</v>
      </c>
      <c r="E28">
        <v>2</v>
      </c>
      <c r="F28">
        <v>27637.1</v>
      </c>
      <c r="G28">
        <v>2210.9679999999998</v>
      </c>
      <c r="H28" t="str">
        <f>_xlfn.XLOOKUP(FactCarInventory[[#This Row],[DriverKey]],DriverDim[DriverKey],DriverDim[Driver])</f>
        <v>Smith</v>
      </c>
      <c r="I28" t="str">
        <f>_xlfn.XLOOKUP(FactCarInventory[[#This Row],[MakeModelKey]],DimMakeModel[MakeModelKey],DimMakeModel[Make])</f>
        <v>FD</v>
      </c>
      <c r="J28" t="str">
        <f>_xlfn.XLOOKUP(FactCarInventory[[#This Row],[MakeModelKey]],DimMakeModel[MakeModelKey],DimMakeModel[Model])</f>
        <v>FCS</v>
      </c>
      <c r="K28">
        <f>_xlfn.XLOOKUP(FactCarInventory[[#This Row],[WaranteeKey]],DimWarranty[WaranteeKey],DimWarranty[Warantee Miles])</f>
        <v>75000</v>
      </c>
      <c r="L28" t="str">
        <f>_xlfn.XLOOKUP(FactCarInventory[[#This Row],[WaranteeKey]],DimWarranty[WaranteeKey],DimWarranty[Covered?])</f>
        <v>Y</v>
      </c>
      <c r="M28" t="str">
        <f>IF(FactCarInventory[[#This Row],[Miles]]&gt;FactCarInventory[[#This Row],[WarrantyMiles]],"Exceeded","WithinLimit")</f>
        <v>WithinLimit</v>
      </c>
    </row>
    <row r="29" spans="1:13" x14ac:dyDescent="0.2">
      <c r="A29">
        <v>28</v>
      </c>
      <c r="B29">
        <v>18</v>
      </c>
      <c r="C29">
        <v>6</v>
      </c>
      <c r="D29">
        <v>17</v>
      </c>
      <c r="E29">
        <v>2</v>
      </c>
      <c r="F29">
        <v>42074.2</v>
      </c>
      <c r="G29">
        <v>2274.2810810810811</v>
      </c>
      <c r="H29" t="str">
        <f>_xlfn.XLOOKUP(FactCarInventory[[#This Row],[DriverKey]],DriverDim[DriverKey],DriverDim[Driver])</f>
        <v>Gaul</v>
      </c>
      <c r="I29" t="str">
        <f>_xlfn.XLOOKUP(FactCarInventory[[#This Row],[MakeModelKey]],DimMakeModel[MakeModelKey],DimMakeModel[Make])</f>
        <v>CR</v>
      </c>
      <c r="J29" t="str">
        <f>_xlfn.XLOOKUP(FactCarInventory[[#This Row],[MakeModelKey]],DimMakeModel[MakeModelKey],DimMakeModel[Model])</f>
        <v>PTC</v>
      </c>
      <c r="K29">
        <f>_xlfn.XLOOKUP(FactCarInventory[[#This Row],[WaranteeKey]],DimWarranty[WaranteeKey],DimWarranty[Warantee Miles])</f>
        <v>75000</v>
      </c>
      <c r="L29" t="str">
        <f>_xlfn.XLOOKUP(FactCarInventory[[#This Row],[WaranteeKey]],DimWarranty[WaranteeKey],DimWarranty[Covered?])</f>
        <v>Y</v>
      </c>
      <c r="M29" t="str">
        <f>IF(FactCarInventory[[#This Row],[Miles]]&gt;FactCarInventory[[#This Row],[WarrantyMiles]],"Exceeded","WithinLimit")</f>
        <v>WithinLimit</v>
      </c>
    </row>
    <row r="30" spans="1:13" x14ac:dyDescent="0.2">
      <c r="A30">
        <v>29</v>
      </c>
      <c r="B30">
        <v>19</v>
      </c>
      <c r="C30">
        <v>2</v>
      </c>
      <c r="D30">
        <v>1</v>
      </c>
      <c r="E30">
        <v>3</v>
      </c>
      <c r="F30">
        <v>44974.8</v>
      </c>
      <c r="G30">
        <v>2306.4</v>
      </c>
      <c r="H30" t="str">
        <f>_xlfn.XLOOKUP(FactCarInventory[[#This Row],[DriverKey]],DriverDim[DriverKey],DriverDim[Driver])</f>
        <v>McCall</v>
      </c>
      <c r="I30" t="str">
        <f>_xlfn.XLOOKUP(FactCarInventory[[#This Row],[MakeModelKey]],DimMakeModel[MakeModelKey],DimMakeModel[Make])</f>
        <v>FD</v>
      </c>
      <c r="J30" t="str">
        <f>_xlfn.XLOOKUP(FactCarInventory[[#This Row],[MakeModelKey]],DimMakeModel[MakeModelKey],DimMakeModel[Model])</f>
        <v>FCS</v>
      </c>
      <c r="K30">
        <f>_xlfn.XLOOKUP(FactCarInventory[[#This Row],[WaranteeKey]],DimWarranty[WaranteeKey],DimWarranty[Warantee Miles])</f>
        <v>50000</v>
      </c>
      <c r="L30" t="str">
        <f>_xlfn.XLOOKUP(FactCarInventory[[#This Row],[WaranteeKey]],DimWarranty[WaranteeKey],DimWarranty[Covered?])</f>
        <v>Y</v>
      </c>
      <c r="M30" t="str">
        <f>IF(FactCarInventory[[#This Row],[Miles]]&gt;FactCarInventory[[#This Row],[WarrantyMiles]],"Exceeded","WithinLimit")</f>
        <v>WithinLimit</v>
      </c>
    </row>
    <row r="31" spans="1:13" x14ac:dyDescent="0.2">
      <c r="A31">
        <v>30</v>
      </c>
      <c r="B31">
        <v>19</v>
      </c>
      <c r="C31">
        <v>2</v>
      </c>
      <c r="D31">
        <v>9</v>
      </c>
      <c r="E31">
        <v>2</v>
      </c>
      <c r="F31">
        <v>46311.4</v>
      </c>
      <c r="G31">
        <v>2374.9435897435897</v>
      </c>
      <c r="H31" t="str">
        <f>_xlfn.XLOOKUP(FactCarInventory[[#This Row],[DriverKey]],DriverDim[DriverKey],DriverDim[Driver])</f>
        <v>Ewenty</v>
      </c>
      <c r="I31" t="str">
        <f>_xlfn.XLOOKUP(FactCarInventory[[#This Row],[MakeModelKey]],DimMakeModel[MakeModelKey],DimMakeModel[Make])</f>
        <v>FD</v>
      </c>
      <c r="J31" t="str">
        <f>_xlfn.XLOOKUP(FactCarInventory[[#This Row],[MakeModelKey]],DimMakeModel[MakeModelKey],DimMakeModel[Model])</f>
        <v>FCS</v>
      </c>
      <c r="K31">
        <f>_xlfn.XLOOKUP(FactCarInventory[[#This Row],[WaranteeKey]],DimWarranty[WaranteeKey],DimWarranty[Warantee Miles])</f>
        <v>75000</v>
      </c>
      <c r="L31" t="str">
        <f>_xlfn.XLOOKUP(FactCarInventory[[#This Row],[WaranteeKey]],DimWarranty[WaranteeKey],DimWarranty[Covered?])</f>
        <v>Y</v>
      </c>
      <c r="M31" t="str">
        <f>IF(FactCarInventory[[#This Row],[Miles]]&gt;FactCarInventory[[#This Row],[WarrantyMiles]],"Exceeded","WithinLimit")</f>
        <v>WithinLimit</v>
      </c>
    </row>
    <row r="32" spans="1:13" x14ac:dyDescent="0.2">
      <c r="A32">
        <v>31</v>
      </c>
      <c r="B32">
        <v>17</v>
      </c>
      <c r="C32">
        <v>1</v>
      </c>
      <c r="D32">
        <v>2</v>
      </c>
      <c r="E32">
        <v>1</v>
      </c>
      <c r="F32">
        <v>42504.6</v>
      </c>
      <c r="G32">
        <v>2428.8342857142857</v>
      </c>
      <c r="H32" t="str">
        <f>_xlfn.XLOOKUP(FactCarInventory[[#This Row],[DriverKey]],DriverDim[DriverKey],DriverDim[Driver])</f>
        <v>Rodriguez</v>
      </c>
      <c r="I32" t="str">
        <f>_xlfn.XLOOKUP(FactCarInventory[[#This Row],[MakeModelKey]],DimMakeModel[MakeModelKey],DimMakeModel[Make])</f>
        <v>HO</v>
      </c>
      <c r="J32" t="str">
        <f>_xlfn.XLOOKUP(FactCarInventory[[#This Row],[MakeModelKey]],DimMakeModel[MakeModelKey],DimMakeModel[Model])</f>
        <v>ODY</v>
      </c>
      <c r="K32">
        <f>_xlfn.XLOOKUP(FactCarInventory[[#This Row],[WaranteeKey]],DimWarranty[WaranteeKey],DimWarranty[Warantee Miles])</f>
        <v>100000</v>
      </c>
      <c r="L32" t="str">
        <f>_xlfn.XLOOKUP(FactCarInventory[[#This Row],[WaranteeKey]],DimWarranty[WaranteeKey],DimWarranty[Covered?])</f>
        <v>Y</v>
      </c>
      <c r="M32" t="str">
        <f>IF(FactCarInventory[[#This Row],[Miles]]&gt;FactCarInventory[[#This Row],[WarrantyMiles]],"Exceeded","WithinLimit")</f>
        <v>WithinLimit</v>
      </c>
    </row>
    <row r="33" spans="1:13" x14ac:dyDescent="0.2">
      <c r="A33">
        <v>32</v>
      </c>
      <c r="B33">
        <v>21</v>
      </c>
      <c r="C33">
        <v>6</v>
      </c>
      <c r="D33">
        <v>6</v>
      </c>
      <c r="E33">
        <v>2</v>
      </c>
      <c r="F33">
        <v>52699.4</v>
      </c>
      <c r="G33">
        <v>2451.1348837209302</v>
      </c>
      <c r="H33" t="str">
        <f>_xlfn.XLOOKUP(FactCarInventory[[#This Row],[DriverKey]],DriverDim[DriverKey],DriverDim[Driver])</f>
        <v>Bard</v>
      </c>
      <c r="I33" t="str">
        <f>_xlfn.XLOOKUP(FactCarInventory[[#This Row],[MakeModelKey]],DimMakeModel[MakeModelKey],DimMakeModel[Make])</f>
        <v>CR</v>
      </c>
      <c r="J33" t="str">
        <f>_xlfn.XLOOKUP(FactCarInventory[[#This Row],[MakeModelKey]],DimMakeModel[MakeModelKey],DimMakeModel[Model])</f>
        <v>PTC</v>
      </c>
      <c r="K33">
        <f>_xlfn.XLOOKUP(FactCarInventory[[#This Row],[WaranteeKey]],DimWarranty[WaranteeKey],DimWarranty[Warantee Miles])</f>
        <v>75000</v>
      </c>
      <c r="L33" t="str">
        <f>_xlfn.XLOOKUP(FactCarInventory[[#This Row],[WaranteeKey]],DimWarranty[WaranteeKey],DimWarranty[Covered?])</f>
        <v>Y</v>
      </c>
      <c r="M33" t="str">
        <f>IF(FactCarInventory[[#This Row],[Miles]]&gt;FactCarInventory[[#This Row],[WarrantyMiles]],"Exceeded","WithinLimit")</f>
        <v>WithinLimit</v>
      </c>
    </row>
    <row r="34" spans="1:13" x14ac:dyDescent="0.2">
      <c r="A34">
        <v>33</v>
      </c>
      <c r="B34">
        <v>17</v>
      </c>
      <c r="C34">
        <v>2</v>
      </c>
      <c r="D34">
        <v>13</v>
      </c>
      <c r="E34">
        <v>3</v>
      </c>
      <c r="F34">
        <v>44946.5</v>
      </c>
      <c r="G34">
        <v>2568.3714285714286</v>
      </c>
      <c r="H34" t="str">
        <f>_xlfn.XLOOKUP(FactCarInventory[[#This Row],[DriverKey]],DriverDim[DriverKey],DriverDim[Driver])</f>
        <v>Lyon</v>
      </c>
      <c r="I34" t="str">
        <f>_xlfn.XLOOKUP(FactCarInventory[[#This Row],[MakeModelKey]],DimMakeModel[MakeModelKey],DimMakeModel[Make])</f>
        <v>FD</v>
      </c>
      <c r="J34" t="str">
        <f>_xlfn.XLOOKUP(FactCarInventory[[#This Row],[MakeModelKey]],DimMakeModel[MakeModelKey],DimMakeModel[Model])</f>
        <v>FCS</v>
      </c>
      <c r="K34">
        <f>_xlfn.XLOOKUP(FactCarInventory[[#This Row],[WaranteeKey]],DimWarranty[WaranteeKey],DimWarranty[Warantee Miles])</f>
        <v>50000</v>
      </c>
      <c r="L34" t="str">
        <f>_xlfn.XLOOKUP(FactCarInventory[[#This Row],[WaranteeKey]],DimWarranty[WaranteeKey],DimWarranty[Covered?])</f>
        <v>Y</v>
      </c>
      <c r="M34" t="str">
        <f>IF(FactCarInventory[[#This Row],[Miles]]&gt;FactCarInventory[[#This Row],[WarrantyMiles]],"Exceeded","WithinLimit")</f>
        <v>WithinLimit</v>
      </c>
    </row>
    <row r="35" spans="1:13" x14ac:dyDescent="0.2">
      <c r="A35">
        <v>34</v>
      </c>
      <c r="B35">
        <v>19</v>
      </c>
      <c r="C35">
        <v>2</v>
      </c>
      <c r="D35">
        <v>13</v>
      </c>
      <c r="E35">
        <v>2</v>
      </c>
      <c r="F35">
        <v>52229.5</v>
      </c>
      <c r="G35">
        <v>2678.4358974358975</v>
      </c>
      <c r="H35" t="str">
        <f>_xlfn.XLOOKUP(FactCarInventory[[#This Row],[DriverKey]],DriverDim[DriverKey],DriverDim[Driver])</f>
        <v>Lyon</v>
      </c>
      <c r="I35" t="str">
        <f>_xlfn.XLOOKUP(FactCarInventory[[#This Row],[MakeModelKey]],DimMakeModel[MakeModelKey],DimMakeModel[Make])</f>
        <v>FD</v>
      </c>
      <c r="J35" t="str">
        <f>_xlfn.XLOOKUP(FactCarInventory[[#This Row],[MakeModelKey]],DimMakeModel[MakeModelKey],DimMakeModel[Model])</f>
        <v>FCS</v>
      </c>
      <c r="K35">
        <f>_xlfn.XLOOKUP(FactCarInventory[[#This Row],[WaranteeKey]],DimWarranty[WaranteeKey],DimWarranty[Warantee Miles])</f>
        <v>75000</v>
      </c>
      <c r="L35" t="str">
        <f>_xlfn.XLOOKUP(FactCarInventory[[#This Row],[WaranteeKey]],DimWarranty[WaranteeKey],DimWarranty[Covered?])</f>
        <v>Y</v>
      </c>
      <c r="M35" t="str">
        <f>IF(FactCarInventory[[#This Row],[Miles]]&gt;FactCarInventory[[#This Row],[WarrantyMiles]],"Exceeded","WithinLimit")</f>
        <v>WithinLimit</v>
      </c>
    </row>
    <row r="36" spans="1:13" x14ac:dyDescent="0.2">
      <c r="A36">
        <v>35</v>
      </c>
      <c r="B36">
        <v>23</v>
      </c>
      <c r="C36">
        <v>4</v>
      </c>
      <c r="D36">
        <v>17</v>
      </c>
      <c r="E36">
        <v>1</v>
      </c>
      <c r="F36">
        <v>64467.4</v>
      </c>
      <c r="G36">
        <v>2743.2936170212765</v>
      </c>
      <c r="H36" t="str">
        <f>_xlfn.XLOOKUP(FactCarInventory[[#This Row],[DriverKey]],DriverDim[DriverKey],DriverDim[Driver])</f>
        <v>Gaul</v>
      </c>
      <c r="I36" t="str">
        <f>_xlfn.XLOOKUP(FactCarInventory[[#This Row],[MakeModelKey]],DimMakeModel[MakeModelKey],DimMakeModel[Make])</f>
        <v>TY</v>
      </c>
      <c r="J36" t="str">
        <f>_xlfn.XLOOKUP(FactCarInventory[[#This Row],[MakeModelKey]],DimMakeModel[MakeModelKey],DimMakeModel[Model])</f>
        <v>COR</v>
      </c>
      <c r="K36">
        <f>_xlfn.XLOOKUP(FactCarInventory[[#This Row],[WaranteeKey]],DimWarranty[WaranteeKey],DimWarranty[Warantee Miles])</f>
        <v>100000</v>
      </c>
      <c r="L36" t="str">
        <f>_xlfn.XLOOKUP(FactCarInventory[[#This Row],[WaranteeKey]],DimWarranty[WaranteeKey],DimWarranty[Covered?])</f>
        <v>Y</v>
      </c>
      <c r="M36" t="str">
        <f>IF(FactCarInventory[[#This Row],[Miles]]&gt;FactCarInventory[[#This Row],[WarrantyMiles]],"Exceeded","WithinLimit")</f>
        <v>WithinLimit</v>
      </c>
    </row>
    <row r="37" spans="1:13" x14ac:dyDescent="0.2">
      <c r="A37">
        <v>36</v>
      </c>
      <c r="B37">
        <v>18</v>
      </c>
      <c r="C37">
        <v>1</v>
      </c>
      <c r="D37">
        <v>16</v>
      </c>
      <c r="E37">
        <v>1</v>
      </c>
      <c r="F37">
        <v>50854.1</v>
      </c>
      <c r="G37">
        <v>2748.8702702702703</v>
      </c>
      <c r="H37" t="str">
        <f>_xlfn.XLOOKUP(FactCarInventory[[#This Row],[DriverKey]],DriverDim[DriverKey],DriverDim[Driver])</f>
        <v>Swartz</v>
      </c>
      <c r="I37" t="str">
        <f>_xlfn.XLOOKUP(FactCarInventory[[#This Row],[MakeModelKey]],DimMakeModel[MakeModelKey],DimMakeModel[Make])</f>
        <v>HO</v>
      </c>
      <c r="J37" t="str">
        <f>_xlfn.XLOOKUP(FactCarInventory[[#This Row],[MakeModelKey]],DimMakeModel[MakeModelKey],DimMakeModel[Model])</f>
        <v>ODY</v>
      </c>
      <c r="K37">
        <f>_xlfn.XLOOKUP(FactCarInventory[[#This Row],[WaranteeKey]],DimWarranty[WaranteeKey],DimWarranty[Warantee Miles])</f>
        <v>100000</v>
      </c>
      <c r="L37" t="str">
        <f>_xlfn.XLOOKUP(FactCarInventory[[#This Row],[WaranteeKey]],DimWarranty[WaranteeKey],DimWarranty[Covered?])</f>
        <v>Y</v>
      </c>
      <c r="M37" t="str">
        <f>IF(FactCarInventory[[#This Row],[Miles]]&gt;FactCarInventory[[#This Row],[WarrantyMiles]],"Exceeded","WithinLimit")</f>
        <v>WithinLimit</v>
      </c>
    </row>
    <row r="38" spans="1:13" x14ac:dyDescent="0.2">
      <c r="A38">
        <v>37</v>
      </c>
      <c r="B38">
        <v>24</v>
      </c>
      <c r="C38">
        <v>1</v>
      </c>
      <c r="D38">
        <v>12</v>
      </c>
      <c r="E38">
        <v>1</v>
      </c>
      <c r="F38">
        <v>68658.899999999994</v>
      </c>
      <c r="G38">
        <v>2802.4040816326528</v>
      </c>
      <c r="H38" t="str">
        <f>_xlfn.XLOOKUP(FactCarInventory[[#This Row],[DriverKey]],DriverDim[DriverKey],DriverDim[Driver])</f>
        <v>Smith</v>
      </c>
      <c r="I38" t="str">
        <f>_xlfn.XLOOKUP(FactCarInventory[[#This Row],[MakeModelKey]],DimMakeModel[MakeModelKey],DimMakeModel[Make])</f>
        <v>HO</v>
      </c>
      <c r="J38" t="str">
        <f>_xlfn.XLOOKUP(FactCarInventory[[#This Row],[MakeModelKey]],DimMakeModel[MakeModelKey],DimMakeModel[Model])</f>
        <v>ODY</v>
      </c>
      <c r="K38">
        <f>_xlfn.XLOOKUP(FactCarInventory[[#This Row],[WaranteeKey]],DimWarranty[WaranteeKey],DimWarranty[Warantee Miles])</f>
        <v>100000</v>
      </c>
      <c r="L38" t="str">
        <f>_xlfn.XLOOKUP(FactCarInventory[[#This Row],[WaranteeKey]],DimWarranty[WaranteeKey],DimWarranty[Covered?])</f>
        <v>Y</v>
      </c>
      <c r="M38" t="str">
        <f>IF(FactCarInventory[[#This Row],[Miles]]&gt;FactCarInventory[[#This Row],[WarrantyMiles]],"Exceeded","WithinLimit")</f>
        <v>WithinLimit</v>
      </c>
    </row>
    <row r="39" spans="1:13" x14ac:dyDescent="0.2">
      <c r="A39">
        <v>38</v>
      </c>
      <c r="B39">
        <v>24</v>
      </c>
      <c r="C39">
        <v>1</v>
      </c>
      <c r="D39">
        <v>15</v>
      </c>
      <c r="E39">
        <v>2</v>
      </c>
      <c r="F39">
        <v>69891.899999999994</v>
      </c>
      <c r="G39">
        <v>2852.7306122448977</v>
      </c>
      <c r="H39" t="str">
        <f>_xlfn.XLOOKUP(FactCarInventory[[#This Row],[DriverKey]],DriverDim[DriverKey],DriverDim[Driver])</f>
        <v>Jones</v>
      </c>
      <c r="I39" t="str">
        <f>_xlfn.XLOOKUP(FactCarInventory[[#This Row],[MakeModelKey]],DimMakeModel[MakeModelKey],DimMakeModel[Make])</f>
        <v>HO</v>
      </c>
      <c r="J39" t="str">
        <f>_xlfn.XLOOKUP(FactCarInventory[[#This Row],[MakeModelKey]],DimMakeModel[MakeModelKey],DimMakeModel[Model])</f>
        <v>ODY</v>
      </c>
      <c r="K39">
        <f>_xlfn.XLOOKUP(FactCarInventory[[#This Row],[WaranteeKey]],DimWarranty[WaranteeKey],DimWarranty[Warantee Miles])</f>
        <v>75000</v>
      </c>
      <c r="L39" t="str">
        <f>_xlfn.XLOOKUP(FactCarInventory[[#This Row],[WaranteeKey]],DimWarranty[WaranteeKey],DimWarranty[Covered?])</f>
        <v>Y</v>
      </c>
      <c r="M39" t="str">
        <f>IF(FactCarInventory[[#This Row],[Miles]]&gt;FactCarInventory[[#This Row],[WarrantyMiles]],"Exceeded","WithinLimit")</f>
        <v>WithinLimit</v>
      </c>
    </row>
    <row r="40" spans="1:13" x14ac:dyDescent="0.2">
      <c r="A40">
        <v>39</v>
      </c>
      <c r="B40">
        <v>23</v>
      </c>
      <c r="C40">
        <v>4</v>
      </c>
      <c r="D40">
        <v>12</v>
      </c>
      <c r="E40">
        <v>1</v>
      </c>
      <c r="F40">
        <v>67829.100000000006</v>
      </c>
      <c r="G40">
        <v>2886.3446808510639</v>
      </c>
      <c r="H40" t="str">
        <f>_xlfn.XLOOKUP(FactCarInventory[[#This Row],[DriverKey]],DriverDim[DriverKey],DriverDim[Driver])</f>
        <v>Smith</v>
      </c>
      <c r="I40" t="str">
        <f>_xlfn.XLOOKUP(FactCarInventory[[#This Row],[MakeModelKey]],DimMakeModel[MakeModelKey],DimMakeModel[Make])</f>
        <v>TY</v>
      </c>
      <c r="J40" t="str">
        <f>_xlfn.XLOOKUP(FactCarInventory[[#This Row],[MakeModelKey]],DimMakeModel[MakeModelKey],DimMakeModel[Model])</f>
        <v>COR</v>
      </c>
      <c r="K40">
        <f>_xlfn.XLOOKUP(FactCarInventory[[#This Row],[WaranteeKey]],DimWarranty[WaranteeKey],DimWarranty[Warantee Miles])</f>
        <v>100000</v>
      </c>
      <c r="L40" t="str">
        <f>_xlfn.XLOOKUP(FactCarInventory[[#This Row],[WaranteeKey]],DimWarranty[WaranteeKey],DimWarranty[Covered?])</f>
        <v>Y</v>
      </c>
      <c r="M40" t="str">
        <f>IF(FactCarInventory[[#This Row],[Miles]]&gt;FactCarInventory[[#This Row],[WarrantyMiles]],"Exceeded","WithinLimit")</f>
        <v>WithinLimit</v>
      </c>
    </row>
    <row r="41" spans="1:13" x14ac:dyDescent="0.2">
      <c r="A41">
        <v>40</v>
      </c>
      <c r="B41">
        <v>16</v>
      </c>
      <c r="C41">
        <v>4</v>
      </c>
      <c r="D41">
        <v>14</v>
      </c>
      <c r="E41">
        <v>1</v>
      </c>
      <c r="F41">
        <v>48114.2</v>
      </c>
      <c r="G41">
        <v>2916.0121212121212</v>
      </c>
      <c r="H41" t="str">
        <f>_xlfn.XLOOKUP(FactCarInventory[[#This Row],[DriverKey]],DriverDim[DriverKey],DriverDim[Driver])</f>
        <v>Howard</v>
      </c>
      <c r="I41" t="str">
        <f>_xlfn.XLOOKUP(FactCarInventory[[#This Row],[MakeModelKey]],DimMakeModel[MakeModelKey],DimMakeModel[Make])</f>
        <v>TY</v>
      </c>
      <c r="J41" t="str">
        <f>_xlfn.XLOOKUP(FactCarInventory[[#This Row],[MakeModelKey]],DimMakeModel[MakeModelKey],DimMakeModel[Model])</f>
        <v>COR</v>
      </c>
      <c r="K41">
        <f>_xlfn.XLOOKUP(FactCarInventory[[#This Row],[WaranteeKey]],DimWarranty[WaranteeKey],DimWarranty[Warantee Miles])</f>
        <v>100000</v>
      </c>
      <c r="L41" t="str">
        <f>_xlfn.XLOOKUP(FactCarInventory[[#This Row],[WaranteeKey]],DimWarranty[WaranteeKey],DimWarranty[Covered?])</f>
        <v>Y</v>
      </c>
      <c r="M41" t="str">
        <f>IF(FactCarInventory[[#This Row],[Miles]]&gt;FactCarInventory[[#This Row],[WarrantyMiles]],"Exceeded","WithinLimit")</f>
        <v>WithinLimit</v>
      </c>
    </row>
    <row r="42" spans="1:13" x14ac:dyDescent="0.2">
      <c r="A42">
        <v>41</v>
      </c>
      <c r="B42">
        <v>20</v>
      </c>
      <c r="C42">
        <v>1</v>
      </c>
      <c r="D42">
        <v>14</v>
      </c>
      <c r="E42">
        <v>1</v>
      </c>
      <c r="F42">
        <v>60389.5</v>
      </c>
      <c r="G42">
        <v>2945.8292682926831</v>
      </c>
      <c r="H42" t="str">
        <f>_xlfn.XLOOKUP(FactCarInventory[[#This Row],[DriverKey]],DriverDim[DriverKey],DriverDim[Driver])</f>
        <v>Howard</v>
      </c>
      <c r="I42" t="str">
        <f>_xlfn.XLOOKUP(FactCarInventory[[#This Row],[MakeModelKey]],DimMakeModel[MakeModelKey],DimMakeModel[Make])</f>
        <v>HO</v>
      </c>
      <c r="J42" t="str">
        <f>_xlfn.XLOOKUP(FactCarInventory[[#This Row],[MakeModelKey]],DimMakeModel[MakeModelKey],DimMakeModel[Model])</f>
        <v>ODY</v>
      </c>
      <c r="K42">
        <f>_xlfn.XLOOKUP(FactCarInventory[[#This Row],[WaranteeKey]],DimWarranty[WaranteeKey],DimWarranty[Warantee Miles])</f>
        <v>100000</v>
      </c>
      <c r="L42" t="str">
        <f>_xlfn.XLOOKUP(FactCarInventory[[#This Row],[WaranteeKey]],DimWarranty[WaranteeKey],DimWarranty[Covered?])</f>
        <v>Y</v>
      </c>
      <c r="M42" t="str">
        <f>IF(FactCarInventory[[#This Row],[Miles]]&gt;FactCarInventory[[#This Row],[WarrantyMiles]],"Exceeded","WithinLimit")</f>
        <v>WithinLimit</v>
      </c>
    </row>
    <row r="43" spans="1:13" x14ac:dyDescent="0.2">
      <c r="A43">
        <v>42</v>
      </c>
      <c r="B43">
        <v>26</v>
      </c>
      <c r="C43">
        <v>6</v>
      </c>
      <c r="D43">
        <v>11</v>
      </c>
      <c r="E43">
        <v>2</v>
      </c>
      <c r="F43">
        <v>79420.600000000006</v>
      </c>
      <c r="G43">
        <v>2997.003773584906</v>
      </c>
      <c r="H43" t="str">
        <f>_xlfn.XLOOKUP(FactCarInventory[[#This Row],[DriverKey]],DriverDim[DriverKey],DriverDim[Driver])</f>
        <v>Hulinski</v>
      </c>
      <c r="I43" t="str">
        <f>_xlfn.XLOOKUP(FactCarInventory[[#This Row],[MakeModelKey]],DimMakeModel[MakeModelKey],DimMakeModel[Make])</f>
        <v>CR</v>
      </c>
      <c r="J43" t="str">
        <f>_xlfn.XLOOKUP(FactCarInventory[[#This Row],[MakeModelKey]],DimMakeModel[MakeModelKey],DimMakeModel[Model])</f>
        <v>PTC</v>
      </c>
      <c r="K43">
        <f>_xlfn.XLOOKUP(FactCarInventory[[#This Row],[WaranteeKey]],DimWarranty[WaranteeKey],DimWarranty[Warantee Miles])</f>
        <v>75000</v>
      </c>
      <c r="L43" t="s">
        <v>123</v>
      </c>
      <c r="M43" t="str">
        <f>IF(FactCarInventory[[#This Row],[Miles]]&gt;FactCarInventory[[#This Row],[WarrantyMiles]],"Exceeded","WithinLimit")</f>
        <v>Exceeded</v>
      </c>
    </row>
    <row r="44" spans="1:13" x14ac:dyDescent="0.2">
      <c r="A44">
        <v>43</v>
      </c>
      <c r="B44">
        <v>21</v>
      </c>
      <c r="C44">
        <v>6</v>
      </c>
      <c r="D44">
        <v>12</v>
      </c>
      <c r="E44">
        <v>2</v>
      </c>
      <c r="F44">
        <v>64542</v>
      </c>
      <c r="G44">
        <v>3001.953488372093</v>
      </c>
      <c r="H44" t="str">
        <f>_xlfn.XLOOKUP(FactCarInventory[[#This Row],[DriverKey]],DriverDim[DriverKey],DriverDim[Driver])</f>
        <v>Smith</v>
      </c>
      <c r="I44" t="str">
        <f>_xlfn.XLOOKUP(FactCarInventory[[#This Row],[MakeModelKey]],DimMakeModel[MakeModelKey],DimMakeModel[Make])</f>
        <v>CR</v>
      </c>
      <c r="J44" t="str">
        <f>_xlfn.XLOOKUP(FactCarInventory[[#This Row],[MakeModelKey]],DimMakeModel[MakeModelKey],DimMakeModel[Model])</f>
        <v>PTC</v>
      </c>
      <c r="K44">
        <f>_xlfn.XLOOKUP(FactCarInventory[[#This Row],[WaranteeKey]],DimWarranty[WaranteeKey],DimWarranty[Warantee Miles])</f>
        <v>75000</v>
      </c>
      <c r="L44" t="str">
        <f>_xlfn.XLOOKUP(FactCarInventory[[#This Row],[WaranteeKey]],DimWarranty[WaranteeKey],DimWarranty[Covered?])</f>
        <v>Y</v>
      </c>
      <c r="M44" t="str">
        <f>IF(FactCarInventory[[#This Row],[Miles]]&gt;FactCarInventory[[#This Row],[WarrantyMiles]],"Exceeded","WithinLimit")</f>
        <v>WithinLimit</v>
      </c>
    </row>
    <row r="45" spans="1:13" x14ac:dyDescent="0.2">
      <c r="A45">
        <v>44</v>
      </c>
      <c r="B45">
        <v>27</v>
      </c>
      <c r="C45">
        <v>3</v>
      </c>
      <c r="D45">
        <v>8</v>
      </c>
      <c r="E45">
        <v>1</v>
      </c>
      <c r="F45">
        <v>83162.7</v>
      </c>
      <c r="G45">
        <v>3024.0981818181817</v>
      </c>
      <c r="H45" t="str">
        <f>_xlfn.XLOOKUP(FactCarInventory[[#This Row],[DriverKey]],DriverDim[DriverKey],DriverDim[Driver])</f>
        <v>Santos</v>
      </c>
      <c r="I45" t="str">
        <f>_xlfn.XLOOKUP(FactCarInventory[[#This Row],[MakeModelKey]],DimMakeModel[MakeModelKey],DimMakeModel[Make])</f>
        <v>GM</v>
      </c>
      <c r="J45" t="str">
        <f>_xlfn.XLOOKUP(FactCarInventory[[#This Row],[MakeModelKey]],DimMakeModel[MakeModelKey],DimMakeModel[Model])</f>
        <v>CMR</v>
      </c>
      <c r="K45">
        <f>_xlfn.XLOOKUP(FactCarInventory[[#This Row],[WaranteeKey]],DimWarranty[WaranteeKey],DimWarranty[Warantee Miles])</f>
        <v>100000</v>
      </c>
      <c r="L45" t="str">
        <f>_xlfn.XLOOKUP(FactCarInventory[[#This Row],[WaranteeKey]],DimWarranty[WaranteeKey],DimWarranty[Covered?])</f>
        <v>Y</v>
      </c>
      <c r="M45" t="str">
        <f>IF(FactCarInventory[[#This Row],[Miles]]&gt;FactCarInventory[[#This Row],[WarrantyMiles]],"Exceeded","WithinLimit")</f>
        <v>WithinLimit</v>
      </c>
    </row>
    <row r="46" spans="1:13" x14ac:dyDescent="0.2">
      <c r="A46">
        <v>45</v>
      </c>
      <c r="B46">
        <v>25</v>
      </c>
      <c r="C46">
        <v>6</v>
      </c>
      <c r="D46">
        <v>15</v>
      </c>
      <c r="E46">
        <v>2</v>
      </c>
      <c r="F46">
        <v>77243.100000000006</v>
      </c>
      <c r="G46">
        <v>3029.1411764705886</v>
      </c>
      <c r="H46" t="str">
        <f>_xlfn.XLOOKUP(FactCarInventory[[#This Row],[DriverKey]],DriverDim[DriverKey],DriverDim[Driver])</f>
        <v>Jones</v>
      </c>
      <c r="I46" t="str">
        <f>_xlfn.XLOOKUP(FactCarInventory[[#This Row],[MakeModelKey]],DimMakeModel[MakeModelKey],DimMakeModel[Make])</f>
        <v>CR</v>
      </c>
      <c r="J46" t="str">
        <f>_xlfn.XLOOKUP(FactCarInventory[[#This Row],[MakeModelKey]],DimMakeModel[MakeModelKey],DimMakeModel[Model])</f>
        <v>PTC</v>
      </c>
      <c r="K46">
        <f>_xlfn.XLOOKUP(FactCarInventory[[#This Row],[WaranteeKey]],DimWarranty[WaranteeKey],DimWarranty[Warantee Miles])</f>
        <v>75000</v>
      </c>
      <c r="L46" t="str">
        <f>_xlfn.XLOOKUP(FactCarInventory[[#This Row],[WaranteeKey]],DimWarranty[WaranteeKey],DimWarranty[Covered?])</f>
        <v>Y</v>
      </c>
      <c r="M46" t="str">
        <f>IF(FactCarInventory[[#This Row],[Miles]]&gt;FactCarInventory[[#This Row],[WarrantyMiles]],"Exceeded","WithinLimit")</f>
        <v>Exceeded</v>
      </c>
    </row>
    <row r="47" spans="1:13" x14ac:dyDescent="0.2">
      <c r="A47">
        <v>46</v>
      </c>
      <c r="B47">
        <v>26</v>
      </c>
      <c r="C47">
        <v>1</v>
      </c>
      <c r="D47">
        <v>2</v>
      </c>
      <c r="E47">
        <v>2</v>
      </c>
      <c r="F47">
        <v>82374</v>
      </c>
      <c r="G47">
        <v>3108.4528301886794</v>
      </c>
      <c r="H47" t="str">
        <f>_xlfn.XLOOKUP(FactCarInventory[[#This Row],[DriverKey]],DriverDim[DriverKey],DriverDim[Driver])</f>
        <v>Rodriguez</v>
      </c>
      <c r="I47" t="str">
        <f>_xlfn.XLOOKUP(FactCarInventory[[#This Row],[MakeModelKey]],DimMakeModel[MakeModelKey],DimMakeModel[Make])</f>
        <v>HO</v>
      </c>
      <c r="J47" t="str">
        <f>_xlfn.XLOOKUP(FactCarInventory[[#This Row],[MakeModelKey]],DimMakeModel[MakeModelKey],DimMakeModel[Model])</f>
        <v>ODY</v>
      </c>
      <c r="K47">
        <f>_xlfn.XLOOKUP(FactCarInventory[[#This Row],[WaranteeKey]],DimWarranty[WaranteeKey],DimWarranty[Warantee Miles])</f>
        <v>75000</v>
      </c>
      <c r="L47" t="str">
        <f>_xlfn.XLOOKUP(FactCarInventory[[#This Row],[WaranteeKey]],DimWarranty[WaranteeKey],DimWarranty[Covered?])</f>
        <v>Y</v>
      </c>
      <c r="M47" t="str">
        <f>IF(FactCarInventory[[#This Row],[Miles]]&gt;FactCarInventory[[#This Row],[WarrantyMiles]],"Exceeded","WithinLimit")</f>
        <v>Exceeded</v>
      </c>
    </row>
    <row r="48" spans="1:13" x14ac:dyDescent="0.2">
      <c r="A48">
        <v>47</v>
      </c>
      <c r="B48">
        <v>25</v>
      </c>
      <c r="C48">
        <v>3</v>
      </c>
      <c r="D48">
        <v>10</v>
      </c>
      <c r="E48">
        <v>1</v>
      </c>
      <c r="F48">
        <v>80685.8</v>
      </c>
      <c r="G48">
        <v>3164.1490196078435</v>
      </c>
      <c r="H48" t="str">
        <f>_xlfn.XLOOKUP(FactCarInventory[[#This Row],[DriverKey]],DriverDim[DriverKey],DriverDim[Driver])</f>
        <v>Vizzini</v>
      </c>
      <c r="I48" t="str">
        <f>_xlfn.XLOOKUP(FactCarInventory[[#This Row],[MakeModelKey]],DimMakeModel[MakeModelKey],DimMakeModel[Make])</f>
        <v>GM</v>
      </c>
      <c r="J48" t="str">
        <f>_xlfn.XLOOKUP(FactCarInventory[[#This Row],[MakeModelKey]],DimMakeModel[MakeModelKey],DimMakeModel[Model])</f>
        <v>CMR</v>
      </c>
      <c r="K48">
        <f>_xlfn.XLOOKUP(FactCarInventory[[#This Row],[WaranteeKey]],DimWarranty[WaranteeKey],DimWarranty[Warantee Miles])</f>
        <v>100000</v>
      </c>
      <c r="L48" t="str">
        <f>_xlfn.XLOOKUP(FactCarInventory[[#This Row],[WaranteeKey]],DimWarranty[WaranteeKey],DimWarranty[Covered?])</f>
        <v>Y</v>
      </c>
      <c r="M48" t="str">
        <f>IF(FactCarInventory[[#This Row],[Miles]]&gt;FactCarInventory[[#This Row],[WarrantyMiles]],"Exceeded","WithinLimit")</f>
        <v>WithinLimit</v>
      </c>
    </row>
    <row r="49" spans="1:13" x14ac:dyDescent="0.2">
      <c r="A49">
        <v>48</v>
      </c>
      <c r="B49">
        <v>22</v>
      </c>
      <c r="C49">
        <v>4</v>
      </c>
      <c r="D49">
        <v>17</v>
      </c>
      <c r="E49">
        <v>1</v>
      </c>
      <c r="F49">
        <v>73444.399999999994</v>
      </c>
      <c r="G49">
        <v>3264.1955555555551</v>
      </c>
      <c r="H49" t="str">
        <f>_xlfn.XLOOKUP(FactCarInventory[[#This Row],[DriverKey]],DriverDim[DriverKey],DriverDim[Driver])</f>
        <v>Gaul</v>
      </c>
      <c r="I49" t="str">
        <f>_xlfn.XLOOKUP(FactCarInventory[[#This Row],[MakeModelKey]],DimMakeModel[MakeModelKey],DimMakeModel[Make])</f>
        <v>TY</v>
      </c>
      <c r="J49" t="str">
        <f>_xlfn.XLOOKUP(FactCarInventory[[#This Row],[MakeModelKey]],DimMakeModel[MakeModelKey],DimMakeModel[Model])</f>
        <v>COR</v>
      </c>
      <c r="K49">
        <f>_xlfn.XLOOKUP(FactCarInventory[[#This Row],[WaranteeKey]],DimWarranty[WaranteeKey],DimWarranty[Warantee Miles])</f>
        <v>100000</v>
      </c>
      <c r="L49" t="str">
        <f>_xlfn.XLOOKUP(FactCarInventory[[#This Row],[WaranteeKey]],DimWarranty[WaranteeKey],DimWarranty[Covered?])</f>
        <v>Y</v>
      </c>
      <c r="M49" t="str">
        <f>IF(FactCarInventory[[#This Row],[Miles]]&gt;FactCarInventory[[#This Row],[WarrantyMiles]],"Exceeded","WithinLimit")</f>
        <v>WithinLimit</v>
      </c>
    </row>
    <row r="50" spans="1:13" x14ac:dyDescent="0.2">
      <c r="A50">
        <v>49</v>
      </c>
      <c r="B50">
        <v>25</v>
      </c>
      <c r="C50">
        <v>4</v>
      </c>
      <c r="D50">
        <v>9</v>
      </c>
      <c r="E50">
        <v>1</v>
      </c>
      <c r="F50">
        <v>85928</v>
      </c>
      <c r="G50">
        <v>3369.7254901960782</v>
      </c>
      <c r="H50" t="str">
        <f>_xlfn.XLOOKUP(FactCarInventory[[#This Row],[DriverKey]],DriverDim[DriverKey],DriverDim[Driver])</f>
        <v>Ewenty</v>
      </c>
      <c r="I50" t="str">
        <f>_xlfn.XLOOKUP(FactCarInventory[[#This Row],[MakeModelKey]],DimMakeModel[MakeModelKey],DimMakeModel[Make])</f>
        <v>TY</v>
      </c>
      <c r="J50" t="str">
        <f>_xlfn.XLOOKUP(FactCarInventory[[#This Row],[MakeModelKey]],DimMakeModel[MakeModelKey],DimMakeModel[Model])</f>
        <v>COR</v>
      </c>
      <c r="K50">
        <f>_xlfn.XLOOKUP(FactCarInventory[[#This Row],[WaranteeKey]],DimWarranty[WaranteeKey],DimWarranty[Warantee Miles])</f>
        <v>100000</v>
      </c>
      <c r="L50" t="str">
        <f>_xlfn.XLOOKUP(FactCarInventory[[#This Row],[WaranteeKey]],DimWarranty[WaranteeKey],DimWarranty[Covered?])</f>
        <v>Y</v>
      </c>
      <c r="M50" t="str">
        <f>IF(FactCarInventory[[#This Row],[Miles]]&gt;FactCarInventory[[#This Row],[WarrantyMiles]],"Exceeded","WithinLimit")</f>
        <v>WithinLimit</v>
      </c>
    </row>
    <row r="51" spans="1:13" x14ac:dyDescent="0.2">
      <c r="A51">
        <v>50</v>
      </c>
      <c r="B51">
        <v>21</v>
      </c>
      <c r="C51">
        <v>6</v>
      </c>
      <c r="D51">
        <v>6</v>
      </c>
      <c r="E51">
        <v>2</v>
      </c>
      <c r="F51">
        <v>72527.199999999997</v>
      </c>
      <c r="G51">
        <v>3373.3581395348838</v>
      </c>
      <c r="H51" t="str">
        <f>_xlfn.XLOOKUP(FactCarInventory[[#This Row],[DriverKey]],DriverDim[DriverKey],DriverDim[Driver])</f>
        <v>Bard</v>
      </c>
      <c r="I51" t="str">
        <f>_xlfn.XLOOKUP(FactCarInventory[[#This Row],[MakeModelKey]],DimMakeModel[MakeModelKey],DimMakeModel[Make])</f>
        <v>CR</v>
      </c>
      <c r="J51" t="str">
        <f>_xlfn.XLOOKUP(FactCarInventory[[#This Row],[MakeModelKey]],DimMakeModel[MakeModelKey],DimMakeModel[Model])</f>
        <v>PTC</v>
      </c>
      <c r="K51">
        <f>_xlfn.XLOOKUP(FactCarInventory[[#This Row],[WaranteeKey]],DimWarranty[WaranteeKey],DimWarranty[Warantee Miles])</f>
        <v>75000</v>
      </c>
      <c r="L51" t="str">
        <f>_xlfn.XLOOKUP(FactCarInventory[[#This Row],[WaranteeKey]],DimWarranty[WaranteeKey],DimWarranty[Covered?])</f>
        <v>Y</v>
      </c>
      <c r="M51" t="str">
        <f>IF(FactCarInventory[[#This Row],[Miles]]&gt;FactCarInventory[[#This Row],[WarrantyMiles]],"Exceeded","WithinLimit")</f>
        <v>WithinLimit</v>
      </c>
    </row>
    <row r="52" spans="1:13" x14ac:dyDescent="0.2">
      <c r="A52">
        <v>51</v>
      </c>
      <c r="B52">
        <v>27</v>
      </c>
      <c r="C52">
        <v>4</v>
      </c>
      <c r="D52">
        <v>16</v>
      </c>
      <c r="E52">
        <v>1</v>
      </c>
      <c r="F52">
        <v>93382.6</v>
      </c>
      <c r="G52">
        <v>3395.7309090909093</v>
      </c>
      <c r="H52" t="str">
        <f>_xlfn.XLOOKUP(FactCarInventory[[#This Row],[DriverKey]],DriverDim[DriverKey],DriverDim[Driver])</f>
        <v>Swartz</v>
      </c>
      <c r="I52" t="str">
        <f>_xlfn.XLOOKUP(FactCarInventory[[#This Row],[MakeModelKey]],DimMakeModel[MakeModelKey],DimMakeModel[Make])</f>
        <v>TY</v>
      </c>
      <c r="J52" t="str">
        <f>_xlfn.XLOOKUP(FactCarInventory[[#This Row],[MakeModelKey]],DimMakeModel[MakeModelKey],DimMakeModel[Model])</f>
        <v>COR</v>
      </c>
      <c r="K52">
        <f>_xlfn.XLOOKUP(FactCarInventory[[#This Row],[WaranteeKey]],DimWarranty[WaranteeKey],DimWarranty[Warantee Miles])</f>
        <v>100000</v>
      </c>
      <c r="L52" t="str">
        <f>_xlfn.XLOOKUP(FactCarInventory[[#This Row],[WaranteeKey]],DimWarranty[WaranteeKey],DimWarranty[Covered?])</f>
        <v>Y</v>
      </c>
      <c r="M52" t="str">
        <f>IF(FactCarInventory[[#This Row],[Miles]]&gt;FactCarInventory[[#This Row],[WarrantyMiles]],"Exceeded","WithinLimit")</f>
        <v>WithinLimit</v>
      </c>
    </row>
    <row r="53" spans="1:13" x14ac:dyDescent="0.2">
      <c r="A53">
        <v>52</v>
      </c>
      <c r="B53">
        <v>29</v>
      </c>
      <c r="C53">
        <v>4</v>
      </c>
      <c r="D53">
        <v>3</v>
      </c>
      <c r="E53">
        <v>1</v>
      </c>
      <c r="F53">
        <v>114660.6</v>
      </c>
      <c r="G53">
        <v>3886.8</v>
      </c>
      <c r="H53" t="str">
        <f>_xlfn.XLOOKUP(FactCarInventory[[#This Row],[DriverKey]],DriverDim[DriverKey],DriverDim[Driver])</f>
        <v>Chan</v>
      </c>
      <c r="I53" t="str">
        <f>_xlfn.XLOOKUP(FactCarInventory[[#This Row],[MakeModelKey]],DimMakeModel[MakeModelKey],DimMakeModel[Make])</f>
        <v>TY</v>
      </c>
      <c r="J53" t="str">
        <f>_xlfn.XLOOKUP(FactCarInventory[[#This Row],[MakeModelKey]],DimMakeModel[MakeModelKey],DimMakeModel[Model])</f>
        <v>COR</v>
      </c>
      <c r="K53">
        <f>_xlfn.XLOOKUP(FactCarInventory[[#This Row],[WaranteeKey]],DimWarranty[WaranteeKey],DimWarranty[Warantee Miles])</f>
        <v>100000</v>
      </c>
      <c r="L53" t="s">
        <v>123</v>
      </c>
      <c r="M53" t="str">
        <f>IF(FactCarInventory[[#This Row],[Miles]]&gt;FactCarInventory[[#This Row],[WarrantyMiles]],"Exceeded","WithinLimit")</f>
        <v>Exceeded</v>
      </c>
    </row>
  </sheetData>
  <dataConsolidate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A4437-F00C-644C-99ED-39E24EAABD57}">
  <dimension ref="A1:C4"/>
  <sheetViews>
    <sheetView workbookViewId="0">
      <selection activeCell="C2" sqref="C2"/>
    </sheetView>
  </sheetViews>
  <sheetFormatPr baseColWidth="10" defaultRowHeight="16" x14ac:dyDescent="0.2"/>
  <cols>
    <col min="1" max="1" width="14.6640625" bestFit="1" customWidth="1"/>
    <col min="2" max="2" width="16.5" bestFit="1" customWidth="1"/>
    <col min="3" max="3" width="11.5" bestFit="1" customWidth="1"/>
  </cols>
  <sheetData>
    <row r="1" spans="1:3" x14ac:dyDescent="0.2">
      <c r="A1" t="s">
        <v>118</v>
      </c>
      <c r="B1" t="s">
        <v>11</v>
      </c>
      <c r="C1" t="s">
        <v>12</v>
      </c>
    </row>
    <row r="2" spans="1:3" x14ac:dyDescent="0.2">
      <c r="A2">
        <v>1</v>
      </c>
      <c r="B2">
        <v>100000</v>
      </c>
      <c r="C2" t="s">
        <v>114</v>
      </c>
    </row>
    <row r="3" spans="1:3" x14ac:dyDescent="0.2">
      <c r="A3">
        <v>2</v>
      </c>
      <c r="B3">
        <v>75000</v>
      </c>
      <c r="C3" t="s">
        <v>114</v>
      </c>
    </row>
    <row r="4" spans="1:3" x14ac:dyDescent="0.2">
      <c r="A4">
        <v>3</v>
      </c>
      <c r="B4">
        <v>50000</v>
      </c>
      <c r="C4" t="s">
        <v>114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EA4CF-0A6F-D447-AE20-0FFB0ADCAD88}">
  <dimension ref="A1:E53"/>
  <sheetViews>
    <sheetView workbookViewId="0"/>
  </sheetViews>
  <sheetFormatPr baseColWidth="10" defaultRowHeight="16" x14ac:dyDescent="0.2"/>
  <cols>
    <col min="1" max="1" width="9.6640625" bestFit="1" customWidth="1"/>
    <col min="2" max="2" width="13" bestFit="1" customWidth="1"/>
    <col min="3" max="3" width="18.1640625" bestFit="1" customWidth="1"/>
    <col min="4" max="4" width="6.83203125" bestFit="1" customWidth="1"/>
    <col min="5" max="5" width="8.1640625" bestFit="1" customWidth="1"/>
  </cols>
  <sheetData>
    <row r="1" spans="1:5" x14ac:dyDescent="0.2">
      <c r="A1" t="s">
        <v>117</v>
      </c>
      <c r="B1" t="s">
        <v>0</v>
      </c>
      <c r="C1" t="s">
        <v>5</v>
      </c>
      <c r="D1" t="s">
        <v>6</v>
      </c>
      <c r="E1" t="s">
        <v>9</v>
      </c>
    </row>
    <row r="2" spans="1:5" x14ac:dyDescent="0.2">
      <c r="A2">
        <v>1</v>
      </c>
      <c r="B2" t="s">
        <v>71</v>
      </c>
      <c r="C2">
        <v>14</v>
      </c>
      <c r="D2">
        <v>11</v>
      </c>
      <c r="E2" t="s">
        <v>14</v>
      </c>
    </row>
    <row r="3" spans="1:5" x14ac:dyDescent="0.2">
      <c r="A3">
        <v>2</v>
      </c>
      <c r="B3" t="s">
        <v>36</v>
      </c>
      <c r="C3">
        <v>13</v>
      </c>
      <c r="D3">
        <v>12</v>
      </c>
      <c r="E3" t="s">
        <v>14</v>
      </c>
    </row>
    <row r="4" spans="1:5" x14ac:dyDescent="0.2">
      <c r="A4">
        <v>3</v>
      </c>
      <c r="B4" t="s">
        <v>68</v>
      </c>
      <c r="C4">
        <v>13</v>
      </c>
      <c r="D4">
        <v>12</v>
      </c>
      <c r="E4" t="s">
        <v>14</v>
      </c>
    </row>
    <row r="5" spans="1:5" x14ac:dyDescent="0.2">
      <c r="A5">
        <v>4</v>
      </c>
      <c r="B5" t="s">
        <v>41</v>
      </c>
      <c r="C5">
        <v>14</v>
      </c>
      <c r="D5">
        <v>11</v>
      </c>
      <c r="E5" t="s">
        <v>17</v>
      </c>
    </row>
    <row r="6" spans="1:5" x14ac:dyDescent="0.2">
      <c r="A6">
        <v>5</v>
      </c>
      <c r="B6" t="s">
        <v>32</v>
      </c>
      <c r="C6">
        <v>12</v>
      </c>
      <c r="D6">
        <v>13</v>
      </c>
      <c r="E6" t="s">
        <v>17</v>
      </c>
    </row>
    <row r="7" spans="1:5" x14ac:dyDescent="0.2">
      <c r="A7">
        <v>6</v>
      </c>
      <c r="B7" t="s">
        <v>39</v>
      </c>
      <c r="C7">
        <v>12</v>
      </c>
      <c r="D7">
        <v>13</v>
      </c>
      <c r="E7" t="s">
        <v>14</v>
      </c>
    </row>
    <row r="8" spans="1:5" x14ac:dyDescent="0.2">
      <c r="A8">
        <v>7</v>
      </c>
      <c r="B8" t="s">
        <v>64</v>
      </c>
      <c r="C8">
        <v>10</v>
      </c>
      <c r="D8">
        <v>15</v>
      </c>
      <c r="E8" t="s">
        <v>47</v>
      </c>
    </row>
    <row r="9" spans="1:5" x14ac:dyDescent="0.2">
      <c r="A9">
        <v>8</v>
      </c>
      <c r="B9" t="s">
        <v>59</v>
      </c>
      <c r="C9">
        <v>14</v>
      </c>
      <c r="D9">
        <v>11</v>
      </c>
      <c r="E9" t="s">
        <v>47</v>
      </c>
    </row>
    <row r="10" spans="1:5" x14ac:dyDescent="0.2">
      <c r="A10">
        <v>9</v>
      </c>
      <c r="B10" t="s">
        <v>81</v>
      </c>
      <c r="C10">
        <v>13</v>
      </c>
      <c r="D10">
        <v>12</v>
      </c>
      <c r="E10" t="s">
        <v>14</v>
      </c>
    </row>
    <row r="11" spans="1:5" x14ac:dyDescent="0.2">
      <c r="A11">
        <v>10</v>
      </c>
      <c r="B11" t="s">
        <v>61</v>
      </c>
      <c r="C11">
        <v>12</v>
      </c>
      <c r="D11">
        <v>13</v>
      </c>
      <c r="E11" t="s">
        <v>47</v>
      </c>
    </row>
    <row r="12" spans="1:5" x14ac:dyDescent="0.2">
      <c r="A12">
        <v>11</v>
      </c>
      <c r="B12" t="s">
        <v>80</v>
      </c>
      <c r="C12">
        <v>12</v>
      </c>
      <c r="D12">
        <v>13</v>
      </c>
      <c r="E12" t="s">
        <v>47</v>
      </c>
    </row>
    <row r="13" spans="1:5" x14ac:dyDescent="0.2">
      <c r="A13">
        <v>12</v>
      </c>
      <c r="B13" t="s">
        <v>110</v>
      </c>
      <c r="C13">
        <v>9</v>
      </c>
      <c r="D13">
        <v>16</v>
      </c>
      <c r="E13" t="s">
        <v>17</v>
      </c>
    </row>
    <row r="14" spans="1:5" x14ac:dyDescent="0.2">
      <c r="A14">
        <v>13</v>
      </c>
      <c r="B14" t="s">
        <v>82</v>
      </c>
      <c r="C14">
        <v>13</v>
      </c>
      <c r="D14">
        <v>12</v>
      </c>
      <c r="E14" t="s">
        <v>47</v>
      </c>
    </row>
    <row r="15" spans="1:5" x14ac:dyDescent="0.2">
      <c r="A15">
        <v>14</v>
      </c>
      <c r="B15" t="s">
        <v>34</v>
      </c>
      <c r="C15">
        <v>13</v>
      </c>
      <c r="D15">
        <v>12</v>
      </c>
      <c r="E15" t="s">
        <v>14</v>
      </c>
    </row>
    <row r="16" spans="1:5" x14ac:dyDescent="0.2">
      <c r="A16">
        <v>15</v>
      </c>
      <c r="B16" t="s">
        <v>67</v>
      </c>
      <c r="C16">
        <v>12</v>
      </c>
      <c r="D16">
        <v>13</v>
      </c>
      <c r="E16" t="s">
        <v>14</v>
      </c>
    </row>
    <row r="17" spans="1:5" x14ac:dyDescent="0.2">
      <c r="A17">
        <v>16</v>
      </c>
      <c r="B17" t="s">
        <v>74</v>
      </c>
      <c r="C17">
        <v>11</v>
      </c>
      <c r="D17">
        <v>14</v>
      </c>
      <c r="E17" t="s">
        <v>14</v>
      </c>
    </row>
    <row r="18" spans="1:5" x14ac:dyDescent="0.2">
      <c r="A18">
        <v>17</v>
      </c>
      <c r="B18" t="s">
        <v>79</v>
      </c>
      <c r="C18">
        <v>11</v>
      </c>
      <c r="D18">
        <v>14</v>
      </c>
      <c r="E18" t="s">
        <v>14</v>
      </c>
    </row>
    <row r="19" spans="1:5" x14ac:dyDescent="0.2">
      <c r="A19">
        <v>18</v>
      </c>
      <c r="B19" t="s">
        <v>43</v>
      </c>
      <c r="C19">
        <v>10</v>
      </c>
      <c r="D19">
        <v>15</v>
      </c>
      <c r="E19" t="s">
        <v>14</v>
      </c>
    </row>
    <row r="20" spans="1:5" x14ac:dyDescent="0.2">
      <c r="A20">
        <v>19</v>
      </c>
      <c r="B20" t="s">
        <v>13</v>
      </c>
      <c r="C20">
        <v>6</v>
      </c>
      <c r="D20">
        <v>19</v>
      </c>
      <c r="E20" t="s">
        <v>14</v>
      </c>
    </row>
    <row r="21" spans="1:5" x14ac:dyDescent="0.2">
      <c r="A21">
        <v>20</v>
      </c>
      <c r="B21" t="s">
        <v>24</v>
      </c>
      <c r="C21">
        <v>8</v>
      </c>
      <c r="D21">
        <v>17</v>
      </c>
      <c r="E21" t="s">
        <v>17</v>
      </c>
    </row>
    <row r="22" spans="1:5" x14ac:dyDescent="0.2">
      <c r="A22">
        <v>21</v>
      </c>
      <c r="B22" t="s">
        <v>66</v>
      </c>
      <c r="C22">
        <v>11</v>
      </c>
      <c r="D22">
        <v>14</v>
      </c>
      <c r="E22" t="s">
        <v>14</v>
      </c>
    </row>
    <row r="23" spans="1:5" x14ac:dyDescent="0.2">
      <c r="A23">
        <v>22</v>
      </c>
      <c r="B23" t="s">
        <v>27</v>
      </c>
      <c r="C23">
        <v>9</v>
      </c>
      <c r="D23">
        <v>16</v>
      </c>
      <c r="E23" t="s">
        <v>14</v>
      </c>
    </row>
    <row r="24" spans="1:5" x14ac:dyDescent="0.2">
      <c r="A24">
        <v>23</v>
      </c>
      <c r="B24" t="s">
        <v>22</v>
      </c>
      <c r="C24">
        <v>8</v>
      </c>
      <c r="D24">
        <v>17</v>
      </c>
      <c r="E24" t="s">
        <v>14</v>
      </c>
    </row>
    <row r="25" spans="1:5" x14ac:dyDescent="0.2">
      <c r="A25">
        <v>24</v>
      </c>
      <c r="B25" t="s">
        <v>65</v>
      </c>
      <c r="C25">
        <v>10</v>
      </c>
      <c r="D25">
        <v>15</v>
      </c>
      <c r="E25" t="s">
        <v>14</v>
      </c>
    </row>
    <row r="26" spans="1:5" x14ac:dyDescent="0.2">
      <c r="A26">
        <v>25</v>
      </c>
      <c r="B26" t="s">
        <v>60</v>
      </c>
      <c r="C26">
        <v>12</v>
      </c>
      <c r="D26">
        <v>13</v>
      </c>
      <c r="E26" t="s">
        <v>14</v>
      </c>
    </row>
    <row r="27" spans="1:5" x14ac:dyDescent="0.2">
      <c r="A27">
        <v>26</v>
      </c>
      <c r="B27" t="s">
        <v>30</v>
      </c>
      <c r="C27">
        <v>13</v>
      </c>
      <c r="D27">
        <v>12</v>
      </c>
      <c r="E27" t="s">
        <v>17</v>
      </c>
    </row>
    <row r="28" spans="1:5" x14ac:dyDescent="0.2">
      <c r="A28">
        <v>27</v>
      </c>
      <c r="B28" t="s">
        <v>29</v>
      </c>
      <c r="C28">
        <v>13</v>
      </c>
      <c r="D28">
        <v>12</v>
      </c>
      <c r="E28" t="s">
        <v>14</v>
      </c>
    </row>
    <row r="29" spans="1:5" x14ac:dyDescent="0.2">
      <c r="A29">
        <v>28</v>
      </c>
      <c r="B29" t="s">
        <v>73</v>
      </c>
      <c r="C29">
        <v>7</v>
      </c>
      <c r="D29">
        <v>18</v>
      </c>
      <c r="E29" t="s">
        <v>20</v>
      </c>
    </row>
    <row r="30" spans="1:5" x14ac:dyDescent="0.2">
      <c r="A30">
        <v>29</v>
      </c>
      <c r="B30" t="s">
        <v>16</v>
      </c>
      <c r="C30">
        <v>6</v>
      </c>
      <c r="D30">
        <v>19</v>
      </c>
      <c r="E30" t="s">
        <v>17</v>
      </c>
    </row>
    <row r="31" spans="1:5" x14ac:dyDescent="0.2">
      <c r="A31">
        <v>30</v>
      </c>
      <c r="B31" t="s">
        <v>109</v>
      </c>
      <c r="C31">
        <v>6</v>
      </c>
      <c r="D31">
        <v>19</v>
      </c>
      <c r="E31" t="s">
        <v>20</v>
      </c>
    </row>
    <row r="32" spans="1:5" x14ac:dyDescent="0.2">
      <c r="A32">
        <v>31</v>
      </c>
      <c r="B32" t="s">
        <v>70</v>
      </c>
      <c r="C32">
        <v>8</v>
      </c>
      <c r="D32">
        <v>17</v>
      </c>
      <c r="E32" t="s">
        <v>17</v>
      </c>
    </row>
    <row r="33" spans="1:5" x14ac:dyDescent="0.2">
      <c r="A33">
        <v>32</v>
      </c>
      <c r="B33" t="s">
        <v>78</v>
      </c>
      <c r="C33">
        <v>4</v>
      </c>
      <c r="D33">
        <v>21</v>
      </c>
      <c r="E33" t="s">
        <v>56</v>
      </c>
    </row>
    <row r="34" spans="1:5" x14ac:dyDescent="0.2">
      <c r="A34">
        <v>33</v>
      </c>
      <c r="B34" t="s">
        <v>19</v>
      </c>
      <c r="C34">
        <v>8</v>
      </c>
      <c r="D34">
        <v>17</v>
      </c>
      <c r="E34" t="s">
        <v>20</v>
      </c>
    </row>
    <row r="35" spans="1:5" x14ac:dyDescent="0.2">
      <c r="A35">
        <v>34</v>
      </c>
      <c r="B35" t="s">
        <v>26</v>
      </c>
      <c r="C35">
        <v>6</v>
      </c>
      <c r="D35">
        <v>19</v>
      </c>
      <c r="E35" t="s">
        <v>20</v>
      </c>
    </row>
    <row r="36" spans="1:5" x14ac:dyDescent="0.2">
      <c r="A36">
        <v>35</v>
      </c>
      <c r="B36" t="s">
        <v>55</v>
      </c>
      <c r="C36">
        <v>2</v>
      </c>
      <c r="D36">
        <v>23</v>
      </c>
      <c r="E36" t="s">
        <v>56</v>
      </c>
    </row>
    <row r="37" spans="1:5" x14ac:dyDescent="0.2">
      <c r="A37">
        <v>36</v>
      </c>
      <c r="B37" t="s">
        <v>69</v>
      </c>
      <c r="C37">
        <v>7</v>
      </c>
      <c r="D37">
        <v>18</v>
      </c>
      <c r="E37" t="s">
        <v>14</v>
      </c>
    </row>
    <row r="38" spans="1:5" x14ac:dyDescent="0.2">
      <c r="A38">
        <v>37</v>
      </c>
      <c r="B38" t="s">
        <v>100</v>
      </c>
      <c r="C38">
        <v>1</v>
      </c>
      <c r="D38">
        <v>24</v>
      </c>
      <c r="E38" t="s">
        <v>14</v>
      </c>
    </row>
    <row r="39" spans="1:5" x14ac:dyDescent="0.2">
      <c r="A39">
        <v>38</v>
      </c>
      <c r="B39" t="s">
        <v>63</v>
      </c>
      <c r="C39">
        <v>1</v>
      </c>
      <c r="D39">
        <v>24</v>
      </c>
      <c r="E39" t="s">
        <v>47</v>
      </c>
    </row>
    <row r="40" spans="1:5" x14ac:dyDescent="0.2">
      <c r="A40">
        <v>39</v>
      </c>
      <c r="B40" t="s">
        <v>53</v>
      </c>
      <c r="C40">
        <v>2</v>
      </c>
      <c r="D40">
        <v>23</v>
      </c>
      <c r="E40" t="s">
        <v>14</v>
      </c>
    </row>
    <row r="41" spans="1:5" x14ac:dyDescent="0.2">
      <c r="A41">
        <v>40</v>
      </c>
      <c r="B41" t="s">
        <v>54</v>
      </c>
      <c r="C41">
        <v>9</v>
      </c>
      <c r="D41">
        <v>16</v>
      </c>
      <c r="E41" t="s">
        <v>17</v>
      </c>
    </row>
    <row r="42" spans="1:5" x14ac:dyDescent="0.2">
      <c r="A42">
        <v>41</v>
      </c>
      <c r="B42" t="s">
        <v>108</v>
      </c>
      <c r="C42">
        <v>5</v>
      </c>
      <c r="D42">
        <v>20</v>
      </c>
      <c r="E42" t="s">
        <v>17</v>
      </c>
    </row>
    <row r="43" spans="1:5" x14ac:dyDescent="0.2">
      <c r="A43">
        <v>42</v>
      </c>
      <c r="B43" t="s">
        <v>75</v>
      </c>
      <c r="C43">
        <v>99</v>
      </c>
      <c r="D43">
        <v>26</v>
      </c>
      <c r="E43" t="s">
        <v>20</v>
      </c>
    </row>
    <row r="44" spans="1:5" x14ac:dyDescent="0.2">
      <c r="A44">
        <v>43</v>
      </c>
      <c r="B44" t="s">
        <v>72</v>
      </c>
      <c r="C44">
        <v>4</v>
      </c>
      <c r="D44">
        <v>21</v>
      </c>
      <c r="E44" t="s">
        <v>47</v>
      </c>
    </row>
    <row r="45" spans="1:5" x14ac:dyDescent="0.2">
      <c r="A45">
        <v>44</v>
      </c>
      <c r="B45" t="s">
        <v>45</v>
      </c>
      <c r="C45">
        <v>98</v>
      </c>
      <c r="D45">
        <v>27</v>
      </c>
      <c r="E45" t="s">
        <v>14</v>
      </c>
    </row>
    <row r="46" spans="1:5" x14ac:dyDescent="0.2">
      <c r="A46">
        <v>45</v>
      </c>
      <c r="B46" t="s">
        <v>76</v>
      </c>
      <c r="C46">
        <v>0</v>
      </c>
      <c r="D46">
        <v>25</v>
      </c>
      <c r="E46" t="s">
        <v>14</v>
      </c>
    </row>
    <row r="47" spans="1:5" x14ac:dyDescent="0.2">
      <c r="A47">
        <v>46</v>
      </c>
      <c r="B47" t="s">
        <v>62</v>
      </c>
      <c r="C47">
        <v>99</v>
      </c>
      <c r="D47">
        <v>26</v>
      </c>
      <c r="E47" t="s">
        <v>17</v>
      </c>
    </row>
    <row r="48" spans="1:5" x14ac:dyDescent="0.2">
      <c r="A48">
        <v>47</v>
      </c>
      <c r="B48" t="s">
        <v>46</v>
      </c>
      <c r="C48">
        <v>0</v>
      </c>
      <c r="D48">
        <v>25</v>
      </c>
      <c r="E48" t="s">
        <v>47</v>
      </c>
    </row>
    <row r="49" spans="1:5" x14ac:dyDescent="0.2">
      <c r="A49">
        <v>48</v>
      </c>
      <c r="B49" t="s">
        <v>58</v>
      </c>
      <c r="C49">
        <v>3</v>
      </c>
      <c r="D49">
        <v>22</v>
      </c>
      <c r="E49" t="s">
        <v>14</v>
      </c>
    </row>
    <row r="50" spans="1:5" x14ac:dyDescent="0.2">
      <c r="A50">
        <v>49</v>
      </c>
      <c r="B50" t="s">
        <v>52</v>
      </c>
      <c r="C50">
        <v>0</v>
      </c>
      <c r="D50">
        <v>25</v>
      </c>
      <c r="E50" t="s">
        <v>20</v>
      </c>
    </row>
    <row r="51" spans="1:5" x14ac:dyDescent="0.2">
      <c r="A51">
        <v>50</v>
      </c>
      <c r="B51" t="s">
        <v>77</v>
      </c>
      <c r="C51">
        <v>4</v>
      </c>
      <c r="D51">
        <v>21</v>
      </c>
      <c r="E51" t="s">
        <v>17</v>
      </c>
    </row>
    <row r="52" spans="1:5" x14ac:dyDescent="0.2">
      <c r="A52">
        <v>51</v>
      </c>
      <c r="B52" t="s">
        <v>50</v>
      </c>
      <c r="C52">
        <v>98</v>
      </c>
      <c r="D52">
        <v>27</v>
      </c>
      <c r="E52" t="s">
        <v>14</v>
      </c>
    </row>
    <row r="53" spans="1:5" x14ac:dyDescent="0.2">
      <c r="A53">
        <v>52</v>
      </c>
      <c r="B53" t="s">
        <v>48</v>
      </c>
      <c r="C53">
        <v>96</v>
      </c>
      <c r="D53">
        <v>29</v>
      </c>
      <c r="E53" t="s">
        <v>20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D03AF-837A-1B40-B843-2B659D513D5B}">
  <dimension ref="A1:E7"/>
  <sheetViews>
    <sheetView workbookViewId="0"/>
  </sheetViews>
  <sheetFormatPr baseColWidth="10" defaultRowHeight="16" x14ac:dyDescent="0.2"/>
  <cols>
    <col min="1" max="1" width="16.1640625" bestFit="1" customWidth="1"/>
    <col min="2" max="2" width="8.1640625" bestFit="1" customWidth="1"/>
    <col min="3" max="3" width="18.1640625" bestFit="1" customWidth="1"/>
    <col min="4" max="4" width="8.6640625" bestFit="1" customWidth="1"/>
    <col min="5" max="5" width="18.83203125" bestFit="1" customWidth="1"/>
  </cols>
  <sheetData>
    <row r="1" spans="1:5" x14ac:dyDescent="0.2">
      <c r="A1" t="s">
        <v>116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>
        <v>1</v>
      </c>
      <c r="B2" t="s">
        <v>86</v>
      </c>
      <c r="C2" t="s">
        <v>92</v>
      </c>
      <c r="D2" t="s">
        <v>98</v>
      </c>
      <c r="E2" t="s">
        <v>102</v>
      </c>
    </row>
    <row r="3" spans="1:5" x14ac:dyDescent="0.2">
      <c r="A3">
        <v>2</v>
      </c>
      <c r="B3" t="s">
        <v>88</v>
      </c>
      <c r="C3" t="s">
        <v>94</v>
      </c>
      <c r="D3" t="s">
        <v>95</v>
      </c>
      <c r="E3" t="s">
        <v>104</v>
      </c>
    </row>
    <row r="4" spans="1:5" x14ac:dyDescent="0.2">
      <c r="A4">
        <v>3</v>
      </c>
      <c r="B4" t="s">
        <v>87</v>
      </c>
      <c r="C4" t="s">
        <v>93</v>
      </c>
      <c r="D4" t="s">
        <v>96</v>
      </c>
      <c r="E4" t="s">
        <v>105</v>
      </c>
    </row>
    <row r="5" spans="1:5" x14ac:dyDescent="0.2">
      <c r="A5">
        <v>4</v>
      </c>
      <c r="B5" t="s">
        <v>85</v>
      </c>
      <c r="C5" t="s">
        <v>91</v>
      </c>
      <c r="D5" t="s">
        <v>97</v>
      </c>
      <c r="E5" t="s">
        <v>106</v>
      </c>
    </row>
    <row r="6" spans="1:5" x14ac:dyDescent="0.2">
      <c r="A6">
        <v>5</v>
      </c>
      <c r="B6" t="s">
        <v>84</v>
      </c>
      <c r="C6" t="s">
        <v>90</v>
      </c>
      <c r="D6" t="s">
        <v>101</v>
      </c>
      <c r="E6" t="s">
        <v>103</v>
      </c>
    </row>
    <row r="7" spans="1:5" x14ac:dyDescent="0.2">
      <c r="A7">
        <v>6</v>
      </c>
      <c r="B7" t="s">
        <v>83</v>
      </c>
      <c r="C7" t="s">
        <v>89</v>
      </c>
      <c r="D7" t="s">
        <v>99</v>
      </c>
      <c r="E7" t="s">
        <v>107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8B00C-D5B0-1146-AE9D-217744561323}">
  <dimension ref="A1:B18"/>
  <sheetViews>
    <sheetView tabSelected="1" workbookViewId="0"/>
  </sheetViews>
  <sheetFormatPr baseColWidth="10" defaultRowHeight="16" x14ac:dyDescent="0.2"/>
  <cols>
    <col min="1" max="1" width="11.6640625" bestFit="1" customWidth="1"/>
    <col min="2" max="2" width="9.1640625" bestFit="1" customWidth="1"/>
  </cols>
  <sheetData>
    <row r="1" spans="1:2" x14ac:dyDescent="0.2">
      <c r="A1" t="s">
        <v>115</v>
      </c>
      <c r="B1" t="s">
        <v>10</v>
      </c>
    </row>
    <row r="2" spans="1:2" x14ac:dyDescent="0.2">
      <c r="A2">
        <v>1</v>
      </c>
      <c r="B2" t="s">
        <v>18</v>
      </c>
    </row>
    <row r="3" spans="1:2" x14ac:dyDescent="0.2">
      <c r="A3">
        <v>2</v>
      </c>
      <c r="B3" t="s">
        <v>37</v>
      </c>
    </row>
    <row r="4" spans="1:2" x14ac:dyDescent="0.2">
      <c r="A4">
        <v>3</v>
      </c>
      <c r="B4" t="s">
        <v>49</v>
      </c>
    </row>
    <row r="5" spans="1:2" x14ac:dyDescent="0.2">
      <c r="A5">
        <v>4</v>
      </c>
      <c r="B5" t="s">
        <v>42</v>
      </c>
    </row>
    <row r="6" spans="1:2" x14ac:dyDescent="0.2">
      <c r="A6">
        <v>5</v>
      </c>
      <c r="B6" t="s">
        <v>33</v>
      </c>
    </row>
    <row r="7" spans="1:2" x14ac:dyDescent="0.2">
      <c r="A7">
        <v>6</v>
      </c>
      <c r="B7" t="s">
        <v>40</v>
      </c>
    </row>
    <row r="8" spans="1:2" x14ac:dyDescent="0.2">
      <c r="A8">
        <v>7</v>
      </c>
      <c r="B8" t="s">
        <v>31</v>
      </c>
    </row>
    <row r="9" spans="1:2" x14ac:dyDescent="0.2">
      <c r="A9">
        <v>8</v>
      </c>
      <c r="B9" t="s">
        <v>38</v>
      </c>
    </row>
    <row r="10" spans="1:2" x14ac:dyDescent="0.2">
      <c r="A10">
        <v>9</v>
      </c>
      <c r="B10" t="s">
        <v>25</v>
      </c>
    </row>
    <row r="11" spans="1:2" x14ac:dyDescent="0.2">
      <c r="A11">
        <v>10</v>
      </c>
      <c r="B11" t="s">
        <v>35</v>
      </c>
    </row>
    <row r="12" spans="1:2" x14ac:dyDescent="0.2">
      <c r="A12">
        <v>11</v>
      </c>
      <c r="B12" t="s">
        <v>44</v>
      </c>
    </row>
    <row r="13" spans="1:2" x14ac:dyDescent="0.2">
      <c r="A13">
        <v>12</v>
      </c>
      <c r="B13" t="s">
        <v>15</v>
      </c>
    </row>
    <row r="14" spans="1:2" x14ac:dyDescent="0.2">
      <c r="A14">
        <v>13</v>
      </c>
      <c r="B14" t="s">
        <v>21</v>
      </c>
    </row>
    <row r="15" spans="1:2" x14ac:dyDescent="0.2">
      <c r="A15">
        <v>14</v>
      </c>
      <c r="B15" t="s">
        <v>28</v>
      </c>
    </row>
    <row r="16" spans="1:2" x14ac:dyDescent="0.2">
      <c r="A16">
        <v>15</v>
      </c>
      <c r="B16" t="s">
        <v>23</v>
      </c>
    </row>
    <row r="17" spans="1:2" x14ac:dyDescent="0.2">
      <c r="A17">
        <v>16</v>
      </c>
      <c r="B17" t="s">
        <v>51</v>
      </c>
    </row>
    <row r="18" spans="1:2" x14ac:dyDescent="0.2">
      <c r="A18">
        <v>17</v>
      </c>
      <c r="B18" t="s">
        <v>57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BF85401-0C65-4544-8201-C6DE40AA881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Pivot_MileagebyDriver</vt:lpstr>
      <vt:lpstr>Pivot_MilesbyModel</vt:lpstr>
      <vt:lpstr>Pivot_WarrantyRiskCount</vt:lpstr>
      <vt:lpstr>Pivot_AgeCountCars</vt:lpstr>
      <vt:lpstr>FactCarInventory</vt:lpstr>
      <vt:lpstr>DimWarranty</vt:lpstr>
      <vt:lpstr>DimCar</vt:lpstr>
      <vt:lpstr>DimMakeModel</vt:lpstr>
      <vt:lpstr>DriverDim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Gopichand Ranshevare</dc:creator>
  <cp:lastModifiedBy>Gopichand Ranshevare</cp:lastModifiedBy>
  <dcterms:created xsi:type="dcterms:W3CDTF">2026-01-26T15:17:18Z</dcterms:created>
  <dcterms:modified xsi:type="dcterms:W3CDTF">2026-02-02T00:46:35Z</dcterms:modified>
</cp:coreProperties>
</file>